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/ResultsClingcon/H1_15_min_Wh/"/>
    </mc:Choice>
  </mc:AlternateContent>
  <xr:revisionPtr revIDLastSave="0" documentId="13_ncr:1_{87FA289F-0F12-CD4F-A807-33ACA25939ED}" xr6:coauthVersionLast="47" xr6:coauthVersionMax="47" xr10:uidLastSave="{00000000-0000-0000-0000-000000000000}"/>
  <bookViews>
    <workbookView xWindow="0" yWindow="500" windowWidth="38400" windowHeight="19460" xr2:uid="{00000000-000D-0000-FFFF-FFFF00000000}"/>
  </bookViews>
  <sheets>
    <sheet name="2020-0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" i="1" l="1"/>
  <c r="F100" i="1"/>
  <c r="R100" i="1"/>
  <c r="Q100" i="1"/>
  <c r="W9" i="1"/>
  <c r="T5" i="1"/>
  <c r="T6" i="1" s="1"/>
  <c r="S5" i="1"/>
  <c r="T4" i="1"/>
  <c r="S4" i="1" s="1"/>
  <c r="T3" i="1"/>
  <c r="S3" i="1" s="1"/>
  <c r="T7" i="1" l="1"/>
  <c r="S6" i="1"/>
  <c r="S7" i="1" l="1"/>
  <c r="T8" i="1"/>
  <c r="S8" i="1" l="1"/>
  <c r="T9" i="1"/>
  <c r="S9" i="1" l="1"/>
  <c r="T10" i="1"/>
  <c r="T11" i="1" l="1"/>
  <c r="S10" i="1"/>
  <c r="S11" i="1" l="1"/>
  <c r="T12" i="1"/>
  <c r="S12" i="1" l="1"/>
  <c r="T13" i="1"/>
  <c r="S13" i="1" l="1"/>
  <c r="T14" i="1"/>
  <c r="T15" i="1" l="1"/>
  <c r="S14" i="1"/>
  <c r="S15" i="1" l="1"/>
  <c r="T16" i="1"/>
  <c r="T17" i="1" l="1"/>
  <c r="S16" i="1"/>
  <c r="S17" i="1" l="1"/>
  <c r="T18" i="1"/>
  <c r="T19" i="1" l="1"/>
  <c r="S18" i="1"/>
  <c r="T20" i="1" l="1"/>
  <c r="S19" i="1"/>
  <c r="T21" i="1" l="1"/>
  <c r="S20" i="1"/>
  <c r="T22" i="1" l="1"/>
  <c r="S21" i="1"/>
  <c r="T23" i="1" l="1"/>
  <c r="S22" i="1"/>
  <c r="S23" i="1" l="1"/>
  <c r="T24" i="1"/>
  <c r="T25" i="1" l="1"/>
  <c r="S24" i="1"/>
  <c r="T26" i="1" l="1"/>
  <c r="S25" i="1"/>
  <c r="T27" i="1" l="1"/>
  <c r="S26" i="1"/>
  <c r="S27" i="1" l="1"/>
  <c r="T28" i="1"/>
  <c r="T29" i="1" l="1"/>
  <c r="S28" i="1"/>
  <c r="S29" i="1" l="1"/>
  <c r="T30" i="1"/>
  <c r="T31" i="1" l="1"/>
  <c r="S30" i="1"/>
  <c r="T32" i="1" l="1"/>
  <c r="S31" i="1"/>
  <c r="T33" i="1" l="1"/>
  <c r="S32" i="1"/>
  <c r="T34" i="1" l="1"/>
  <c r="S33" i="1"/>
  <c r="T35" i="1" l="1"/>
  <c r="S34" i="1"/>
  <c r="S35" i="1" l="1"/>
  <c r="T36" i="1"/>
  <c r="T37" i="1" l="1"/>
  <c r="S36" i="1"/>
  <c r="S37" i="1" l="1"/>
  <c r="T38" i="1"/>
  <c r="T39" i="1" l="1"/>
  <c r="S38" i="1"/>
  <c r="S39" i="1" l="1"/>
  <c r="T40" i="1"/>
  <c r="T41" i="1" l="1"/>
  <c r="S40" i="1"/>
  <c r="S41" i="1" l="1"/>
  <c r="T42" i="1"/>
  <c r="T43" i="1" l="1"/>
  <c r="S42" i="1"/>
  <c r="S43" i="1" l="1"/>
  <c r="T44" i="1"/>
  <c r="T45" i="1" l="1"/>
  <c r="S44" i="1"/>
  <c r="T46" i="1" l="1"/>
  <c r="S45" i="1"/>
  <c r="T47" i="1" l="1"/>
  <c r="S46" i="1"/>
  <c r="T48" i="1" l="1"/>
  <c r="S47" i="1"/>
  <c r="T49" i="1" l="1"/>
  <c r="S48" i="1"/>
  <c r="S49" i="1" l="1"/>
  <c r="T50" i="1"/>
  <c r="T51" i="1" l="1"/>
  <c r="S50" i="1"/>
  <c r="S51" i="1" l="1"/>
  <c r="T52" i="1"/>
  <c r="T53" i="1" l="1"/>
  <c r="S52" i="1"/>
  <c r="S53" i="1" l="1"/>
  <c r="T54" i="1"/>
  <c r="T55" i="1" l="1"/>
  <c r="S54" i="1"/>
  <c r="S55" i="1" l="1"/>
  <c r="T56" i="1"/>
  <c r="T57" i="1" l="1"/>
  <c r="S56" i="1"/>
  <c r="T58" i="1" l="1"/>
  <c r="S57" i="1"/>
  <c r="T59" i="1" l="1"/>
  <c r="S58" i="1"/>
  <c r="S59" i="1" l="1"/>
  <c r="T60" i="1"/>
  <c r="T61" i="1" l="1"/>
  <c r="S60" i="1"/>
  <c r="S61" i="1" l="1"/>
  <c r="T62" i="1"/>
  <c r="T63" i="1" l="1"/>
  <c r="S62" i="1"/>
  <c r="S63" i="1" l="1"/>
  <c r="T64" i="1"/>
  <c r="T65" i="1" l="1"/>
  <c r="S64" i="1"/>
  <c r="T66" i="1" l="1"/>
  <c r="S65" i="1"/>
  <c r="T67" i="1" l="1"/>
  <c r="S66" i="1"/>
  <c r="T68" i="1" l="1"/>
  <c r="S67" i="1"/>
  <c r="T69" i="1" l="1"/>
  <c r="S68" i="1"/>
  <c r="S69" i="1" l="1"/>
  <c r="T70" i="1"/>
  <c r="T71" i="1" l="1"/>
  <c r="S70" i="1"/>
  <c r="S71" i="1" l="1"/>
  <c r="T72" i="1"/>
  <c r="T73" i="1" l="1"/>
  <c r="S72" i="1"/>
  <c r="T74" i="1" l="1"/>
  <c r="S73" i="1"/>
  <c r="T75" i="1" l="1"/>
  <c r="S74" i="1"/>
  <c r="S75" i="1" l="1"/>
  <c r="T76" i="1"/>
  <c r="T77" i="1" l="1"/>
  <c r="S76" i="1"/>
  <c r="S77" i="1" l="1"/>
  <c r="T78" i="1"/>
  <c r="T79" i="1" l="1"/>
  <c r="S78" i="1"/>
  <c r="S79" i="1" l="1"/>
  <c r="T80" i="1"/>
  <c r="S80" i="1" l="1"/>
  <c r="T81" i="1"/>
  <c r="T82" i="1" l="1"/>
  <c r="S81" i="1"/>
  <c r="T83" i="1" l="1"/>
  <c r="S82" i="1"/>
  <c r="S83" i="1" l="1"/>
  <c r="T84" i="1"/>
  <c r="T85" i="1" l="1"/>
  <c r="S84" i="1"/>
  <c r="T86" i="1" l="1"/>
  <c r="S85" i="1"/>
  <c r="T87" i="1" l="1"/>
  <c r="S86" i="1"/>
  <c r="S87" i="1" l="1"/>
  <c r="T88" i="1"/>
  <c r="T89" i="1" l="1"/>
  <c r="S88" i="1"/>
  <c r="T90" i="1" l="1"/>
  <c r="S89" i="1"/>
  <c r="T91" i="1" l="1"/>
  <c r="S90" i="1"/>
  <c r="T92" i="1" l="1"/>
  <c r="S91" i="1"/>
  <c r="T93" i="1" l="1"/>
  <c r="S92" i="1"/>
  <c r="S93" i="1" l="1"/>
  <c r="T94" i="1"/>
  <c r="T95" i="1" l="1"/>
  <c r="S94" i="1"/>
  <c r="S95" i="1" l="1"/>
  <c r="T96" i="1"/>
  <c r="T97" i="1" l="1"/>
  <c r="S96" i="1"/>
  <c r="T98" i="1" l="1"/>
  <c r="S97" i="1"/>
  <c r="T99" i="1" l="1"/>
  <c r="S99" i="1" s="1"/>
  <c r="S98" i="1"/>
</calcChain>
</file>

<file path=xl/sharedStrings.xml><?xml version="1.0" encoding="utf-8"?>
<sst xmlns="http://schemas.openxmlformats.org/spreadsheetml/2006/main" count="130" uniqueCount="121">
  <si>
    <t>Original Dataset</t>
  </si>
  <si>
    <t>Analysis: H1_15_min_Wh</t>
  </si>
  <si>
    <t>ASP Solution</t>
  </si>
  <si>
    <t>Init Charge (%):</t>
  </si>
  <si>
    <t>Max Charge:</t>
  </si>
  <si>
    <t>Minimum storage Level</t>
  </si>
  <si>
    <t>date</t>
  </si>
  <si>
    <t>Discharge(KW)</t>
  </si>
  <si>
    <t>Charge(KW)</t>
  </si>
  <si>
    <t>Production(KW)</t>
  </si>
  <si>
    <t>Consumption(KW)</t>
  </si>
  <si>
    <t>Feed-in(KW)</t>
  </si>
  <si>
    <t>From grid(KW)</t>
  </si>
  <si>
    <t>State of Charge (%)</t>
  </si>
  <si>
    <t>State of Charge (Value)</t>
  </si>
  <si>
    <t>Maximum storage Level</t>
  </si>
  <si>
    <t>2020-01-02 0:00:00</t>
  </si>
  <si>
    <t>Maximum Power (both Charge and Discharge)</t>
  </si>
  <si>
    <t>18kWh</t>
  </si>
  <si>
    <t>2020-01-02 0:15:00</t>
  </si>
  <si>
    <t>2020-01-02 0:30:00</t>
  </si>
  <si>
    <t>2020-01-02 0:45:00</t>
  </si>
  <si>
    <t xml:space="preserve">Is Optimal: </t>
  </si>
  <si>
    <t>NOT KNOWN</t>
  </si>
  <si>
    <t>2020-01-02 1:00:00</t>
  </si>
  <si>
    <t xml:space="preserve">Last Answer Set Number: </t>
  </si>
  <si>
    <t xml:space="preserve"> 1 (Time: 0.010s).
vP_L("2020-01-02","0:00:00","0.3"). vP_L("2020-01-02","0:15:00","4.539999999999999"). vP_L("2020-01-02","0:30:00","4.699999999999999"). vP_L("2020-01-02","0:45:00","4.67"). vP_L("2020-01-02","10:00:00","29.189999999999998"). vP_L("2020-01-02","10:15:00","5.9399999999999995"). vP_L("2020-01-02","10:30:00","2.2399999999999998"). vP_L("2020-01-02","10:45:00","1.0500000000000003"). vP_L("2020-01-02","11:00:00","1.7100000000000004"). vP_L("2020-01-02","11:15:00","0.42000000000000004"). vP_L("2020-01-02","11:30:00","0.43000000000000005"). vP_L("2020-01-02","11:45:00","0.9600000000000002"). vP_L("2020-01-02","12:00:00","0.23"). vP_L("2020-01-02","12:15:00","0.6300000000000001"). vP_L("2020-01-02","12:30:00","6.09"). vP_L("2020-01-02","12:45:00","29.309999999999995"). vP_L("2020-01-02","13:00:00","12.020000000000001"). vP_L("2020-01-02","13:15:00","1.4100000000000001"). vP_L("2020-01-02","13:30:00","0.8600000000000002"). vP_L("2020-01-02","13:45:00","1.7200000000000004"). vP_L("2020-01-02","14:00:00","2.49"). vP_L("2020-01-02","14:15:00","1.8000000000000005"). vP_L("2020-01-02","14:30:00","1.8200000000000003"). vP_L("2020-01-02","14:45:00","1.9600000000000004"). vP_L("2020-01-02","15:00:00","1.34"). vP_L("2020-01-02","15:15:00","1.87"). vP_L("2020-01-02","15:30:00","21.529999999999998"). vP_L("2020-01-02","15:45:00","27.439999999999994"). vP_L("2020-01-02","16:00:00","2.8099999999999996"). vP_L("2020-01-02","16:15:00","1.4100000000000001"). vP_L("2020-01-02","16:30:00","5.4799999999999995"). vP_L("2020-01-02","16:45:00","1.6100000000000003"). vP_L("2020-01-02","17:00:00","0.45000000000000007"). vP_L("2020-01-02","17:15:00","2.59"). vP_L("2020-01-02","17:30:00","4.3100000000000005"). vP_L("2020-01-02","17:45:00","4.52"). vP_L("2020-01-02","18:00:00","4.029999999999999"). vP_L("2020-01-02","18:15:00","8.459999999999999"). vP_L("2020-01-02","18:30:00","29.68"). vP_L("2020-01-02","18:45:00","13.419999999999998"). vP_L("2020-01-02","19:00:00","4.12"). vP_L("2020-01-02","19:15:00","4.220000000000001"). vP_L("2020-01-02","19:30:00","4.49"). vP_L("2020-01-02","19:45:00","4.289999999999999"). vP_L("2020-01-02","1:00:00","4.32"). vP_L("2020-01-02","1:15:00","5.130000000000001"). vP_L("2020-01-02","1:30:00","30.96"). vP_L("2020-01-02","1:45:00","14.829999999999997"). vP_L("2020-01-02","20:00:00","4.08"). vP_L("2020-01-02","20:15:00","4.08"). vP_L("2020-01-02","20:30:00","4.3999999999999995"). vP_L("2020-01-02","20:45:00","4.16"). vP_L("2020-01-02","21:00:00","4.08"). vP_L("2020-01-02","21:15:00","22.01"). vP_L("2020-01-02","21:30:00","26.919999999999995"). vP_L("2020-01-02","21:45:00","3.67"). vP_L("2020-01-02","22:00:00","3.5700000000000003"). vP_L("2020-01-02","22:15:00","3.880000000000001"). vP_L("2020-01-02","22:30:00","4.539999999999999"). vP_L("2020-01-02","22:45:00","4.33"). vP_L("2020-01-02","23:00:00","4.6"). vP_L("2020-01-02","23:15:00","4.419999999999999"). vP_L("2020-01-02","23:30:00","4.6"). vP_L("2020-01-02","23:45:00","4.58"). vP_L("2020-01-02","24:00:00","4.159999999999999"). vP_L("2020-01-02","2:00:00","4.1400000000000015"). vP_L("2020-01-02","2:15:00","4.419999999999999"). vP_L("2020-01-02","2:30:00","4.1"). vP_L("2020-01-02","2:45:00","3.91"). vP_L("2020-01-02","3:00:00","3.85"). vP_L("2020-01-02","3:15:00","4.109999999999999"). vP_L("2020-01-02","3:30:00","4.890000000000001"). vP_L("2020-01-02","3:45:00","3.9700000000000006"). vP_L("2020-01-02","4:00:00","4.0600000000000005"). vP_L("2020-01-02","4:15:00","25.57"). vP_L("2020-01-02","4:30:00","22.11"). vP_L("2020-01-02","4:45:00","4.08"). vP_L("2020-01-02","5:00:00","3.88"). vP_L("2020-01-02","5:15:00","3.95"). vP_L("2020-01-02","5:30:00","4.120000000000001"). vP_L("2020-01-02","5:45:00","4.1000000000000005"). vP_L("2020-01-02","6:00:00","4.190000000000002"). vP_L("2020-01-02","6:15:00","4.130000000000001"). vP_L("2020-01-02","6:30:00","4.240000000000001"). vP_L("2020-01-02","6:45:00","4.210000000000002"). vP_L("2020-01-02","7:00:00","15.36"). vP_L("2020-01-02","7:15:00","29.559999999999995"). vP_L("2020-01-02","7:30:00","6.050000000000002"). vP_L("2020-01-02","7:45:00","4.15"). vP_L("2020-01-02","8:00:00","4.07"). vP_L("2020-01-02","8:15:00","3.95"). vP_L("2020-01-02","8:30:00","4.1899999999999995"). vP_L("2020-01-02","8:45:00","2.8300000000000005"). vP_L("2020-01-02","9:00:00","0.7900000000000003"). vP_L("2020-01-02","9:15:00","1.5000000000000002"). vP_L("2020-01-02","9:30:00","2.83"). vP_L("2020-01-02","9:45:00","9.7"). vP_PV("2020-01-02","0:00:00","0.0"). vP_PV("2020-01-02","0:15:00","0.0"). vP_PV("2020-01-02","0:30:00","0.0"). vP_PV("2020-01-02","0:45:00","0.0"). vP_PV("2020-01-02","10:00:00","18.21"). vP_PV("2020-01-02","10:15:00","24.150000000000002"). vP_PV("2020-01-02","10:30:00","8.19"). vP_PV("2020-01-02","10:45:00","27.46"). vP_PV("2020-01-02","11:00:00","32.97"). vP_PV("2020-01-02","11:15:00","56.15"). vP_PV("2020-01-02","11:30:00","51.61"). vP_PV("2020-01-02","11:45:00","43.58999999999999"). vP_PV("2020-01-02","12:00:00","69.72"). vP_PV("2020-01-02","12:15:00","88.88"). vP_PV("2020-01-02","12:30:00","95.36999999999999"). vP_PV("2020-01-02","12:45:00","93.67000000000002"). vP_PV("2020-01-02","13:00:00","278.43"). vP_PV("2020-01-02","13:15:00","69.88999999999999"). vP_PV("2020-01-02","13:30:00","119.22999999999999"). vP_PV("2020-01-02","13:45:00","116.61000000000001"). vP_PV("2020-01-02","14:00:00","162.39"). vP_PV("2020-01-02","14:15:00","122.06"). vP_PV("2020-01-02","14:30:00","111.49000000000001"). vP_PV("2020-01-02","14:45:00","434.10000000000002"). vP_PV("2020-01-02","15:00:00","77.1"). vP_PV("2020-01-02","15:15:00","411.36"). vP_PV("2020-01-02","15:30:00","20.490000000000006"). vP_PV("2020-01-02","15:45:00","14.669999999999998"). vP_PV("2020-01-02","16:00:00","9.529999999999998"). vP_PV("2020-01-02","16:15:00","1.9200000000000004"). vP_PV("2020-01-02","16:30:00","0.06"). vP_PV("2020-01-02","16:45:00","0.0"). vP_PV("2020-01-02","17:00:00","0.0"). vP_PV("2020-01-02","17:15:00","0.0"). vP_PV("2020-01-02","17:30:00","0.0"). vP_PV("2020-01-02","17:45:00","0.0"). vP_PV("2020-01-02","18:00:00","0.0"). vP_PV("2020-01-02","18:15:00","0.0"). vP_PV("2020-01-02","18:30:00","0.0"). vP_PV("2020-01-02","18:45:00","0.0"). vP_PV("2020-01-02","19:00:00","0.0"). vP_PV("2020-01-02","19:15:00","0.0"). vP_PV("2020-01-02","19:30:00","0.0"). vP_PV("2020-01-02","19:45:00","0.0"). vP_PV("2020-01-02","1:00:00","0.0"). vP_PV("2020-01-02","1:15:00","0.0"). vP_PV("2020-01-02","1:30:00","0.0"). vP_PV("2020-01-02","1:45:00","0.0"). vP_PV("2020-01-02","20:00:00","0.0"). vP_PV("2020-01-02","20:15:00","0.0"). vP_PV("2020-01-02","20:30:00","0.0"). vP_PV("2020-01-02","20:45:00","0.0"). vP_PV("2020-01-02","21:00:00","0.0"). vP_PV("2020-01-02","21:15:00","0.2"). vP_PV("2020-01-02","21:30:00","0.0"). vP_PV("2020-01-02","21:45:00","0.0"). vP_PV("2020-01-02","22:00:00","0.0"). vP_PV("2020-01-02","22:15:00","0.0"). vP_PV("2020-01-02","22:30:00","0.0"). vP_PV("2020-01-02","22:45:00","0.0"). vP_PV("2020-01-02","23:00:00","0.0"). vP_PV("2020-01-02","23:15:00","0.0"). vP_PV("2020-01-02","23:30:00","0.0"). vP_PV("2020-01-02","23:45:00","0.0"). vP_PV("2020-01-02","24:00:00","0.0"). vP_PV("2020-01-02","2:00:00","0.0"). vP_PV("2020-01-02","2:15:00","0.0"). vP_PV("2020-01-02","2:30:00","0.0"). vP_PV("2020-01-02","2:45:00","0.0"). vP_PV("2020-01-02","3:00:00","0.0"). vP_PV("2020-01-02","3:15:00","0.0"). vP_PV("2020-01-02","3:30:00","0.0"). vP_PV("2020-01-02","3:45:00","0.0"). vP_PV("2020-01-02","4:00:00","0.0"). vP_PV("2020-01-02","4:15:00","0.05"). vP_PV("2020-01-02","4:30:00","0.05"). vP_PV("2020-01-02","4:45:00","0.0"). vP_PV("2020-01-02","5:00:00","0.0"). vP_PV("2020-01-02","5:15:00","0.0"). vP_PV("2020-01-02","5:30:00","0.0"). vP_PV("2020-01-02","5:45:00","0.0"). vP_PV("2020-01-02","6:00:00","0.0"). vP_PV("2020-01-02","6:15:00","0.0"). vP_PV("2020-01-02","6:30:00","0.0"). vP_PV("2020-01-02","6:45:00","0.0"). vP_PV("2020-01-02","7:00:00","0.0"). vP_PV("2020-01-02","7:15:00","0.0"). vP_PV("2020-01-02","7:30:00","0.0"). vP_PV("2020-01-02","7:45:00","0.0"). vP_PV("2020-01-02","8:00:00","0.0"). vP_PV("2020-01-02","8:15:00","0.0"). vP_PV("2020-01-02","8:30:00","0.0"). vP_PV("2020-01-02","8:45:00","0.0"). vP_PV("2020-01-02","9:00:00","0.03"). vP_PV("2020-01-02","9:15:00","0.41000000000000003"). vP_PV("2020-01-02","9:30:00","0.07"). vP_PV("2020-01-02","9:45:00","2.54"). vP_S("2020-01-02","0:00:00","-0.3"). vP_S("2020-01-02","0:15:00","-4.54"). vP_S("2020-01-02","0:30:00","-4.7"). vP_S("2020-01-02","0:45:00","-4.67"). vP_S("2020-01-02","10:00:00","-10.98"). vP_S("2020-01-02","10:15:00","0.0"). vP_S("2020-01-02","10:30:00","0.0"). vP_S("2020-01-02","10:45:00","0.0"). vP_S("2020-01-02","11:00:00","0.0"). vP_S("2020-01-02","11:15:00","0.0"). vP_S("2020-01-02","11:30:00","0.0"). vP_S("2020-01-02","11:45:00","-0.0"). vP_S("2020-01-02","12:00:00","0.0"). vP_S("2020-01-02","12:15:00","0.0"). vP_S("2020-01-02","12:30:00","0.0"). vP_S("2020-01-02","12:45:00","58.13"). vP_S("2020-01-02","13:00:00","66.41"). vP_S("2020-01-02","13:15:00","0.0"). vP_S("2020-01-02","13:30:00","0.0"). vP_S("2020-01-02","13:45:00","0.0"). vP_S("2020-01-02","14:00:00","0.0"). vP_S("2020-01-02","14:15:00","120.26"). vP_S("2020-01-02","14:30:00","0.0"). vP_S("2020-01-02","14:45:00","0.0"). vP_S("2020-01-02","15:00:00","0.0"). vP_S("2020-01-02","15:15:00","39.49"). vP_S("2020-01-02","15:30:00","-1.04"). vP_S("2020-01-02","15:45:00","-12.77"). vP_S("2020-01-02","16:00:00","6.72"). vP_S("2020-01-02","16:15:00","0.51"). vP_S("2020-01-02","16:30:00","-5.42"). vP_S("2020-01-02","16:45:00","-1.61"). vP_S("2020-01-02","17:00:00","-0.45"). vP_S("2020-01-02","17:15:00","-2.59"). vP_S("2020-01-02","17:30:00","-4.31"). vP_S("2020-01-02","17:45:00","-4.52"). vP_S("2020-01-02","18:00:00","-4.03"). vP_S("2020-01-02","18:15:00","-8.46"). vP_S("2020-01-02","18:30:00","-29.68"). vP_S("2020-01-02","18:45:00","-13.42"). vP_S("2020-01-02","19:00:00","-4.12"). vP_S("2020-01-02","19:15:00","-4.22"). vP_S("2020-01-02","19:30:00","-4.49"). vP_S("2020-01-02","19:45:00","-4.29"). vP_S("2020-01-02","1:00:00","-4.32"). vP_S("2020-01-02","1:15:00","-5.13"). vP_S("2020-01-02","1:30:00","-30.96"). vP_S("2020-01-02","1:45:00","-14.83"). vP_S("2020-01-02","20:00:00","-4.08"). vP_S("2020-01-02","20:15:00","-4.08"). vP_S("2020-01-02","20:30:00","-4.4"). vP_S("2020-01-02","20:45:00","-4.16"). vP_S("2020-01-02","21:00:00","-4.08"). vP_S("2020-01-02","21:15:00","-21.81"). vP_S("2020-01-02","21:30:00","-26.92"). vP_S("2020-01-02","21:45:00","-3.67"). vP_S("2020-01-02","22:00:00","-3.57"). vP_S("2020-01-02","22:15:00","-3.88"). vP_S("2020-01-02","22:30:00","-4.54"). vP_S("2020-01-02","22:45:00","-4.33"). vP_S("2020-01-02","23:00:00","-4.6"). vP_S("2020-01-02","23:15:00","-4.42"). vP_S("2020-01-02","23:30:00","-4.6"). vP_S("2020-01-02","23:45:00","-4.58"). vP_S("2020-01-02","24:00:00","-4.16"). vP_S("2020-01-02","2:00:00","-4.14"). vP_S("2020-01-02","2:15:00","-4.42"). vP_S("2020-01-02","2:30:00","-4.1"). vP_S("2020-01-02","2:45:00","-3.91"). vP_S("2020-01-02","3:00:00","-3.85"). vP_S("2020-01-02","3:15:00","-4.11"). vP_S("2020-01-02","3:30:00","-4.89"). vP_S("2020-01-02","3:45:00","-3.97"). vP_S("2020-01-02","4:00:00","-4.06"). vP_S("2020-01-02","4:15:00","-25.52"). vP_S("2020-01-02","4:30:00","-22.06"). vP_S("2020-01-02","4:45:00","-4.08"). vP_S("2020-01-02","5:00:00","-3.88"). vP_S("2020-01-02","5:15:00","-3.95"). vP_S("2020-01-02","5:30:00","-4.12"). vP_S("2020-01-02","5:45:00","-4.1"). vP_S("2020-01-02","6:00:00","-4.19"). vP_S("2020-01-02","6:15:00","-4.13"). vP_S("2020-01-02","6:30:00","-4.24"). vP_S("2020-01-02","6:45:00","-4.21"). vP_S("2020-01-02","7:00:00","-15.36"). vP_S("2020-01-02","7:15:00","-29.56"). vP_S("2020-01-02","7:30:00","-6.05"). vP_S("2020-01-02","7:45:00","-4.15"). vP_S("2020-01-02","8:00:00","-4.07"). vP_S("2020-01-02","8:15:00","-3.95"). vP_S("2020-01-02","8:30:00","-4.19"). vP_S("2020-01-02","8:45:00","-2.83"). vP_S("2020-01-02","9:00:00","-0.76"). vP_S("2020-01-02","9:15:00","-1.09"). vP_S("2020-01-02","9:30:00","-2.76"). vP_S("2020-01-02","9:45:00","-7.16").
</t>
  </si>
  <si>
    <t>2020-01-02 1:15:00</t>
  </si>
  <si>
    <t xml:space="preserve">Time Last Answer (seconds): </t>
  </si>
  <si>
    <t>2020-01-02 1:30:00</t>
  </si>
  <si>
    <t xml:space="preserve">Time Last Answer (minutes): </t>
  </si>
  <si>
    <t>2020-01-02 1:45:00</t>
  </si>
  <si>
    <t>2020-01-02 2:00:00</t>
  </si>
  <si>
    <t>2020-01-02 2:15:00</t>
  </si>
  <si>
    <t>2020-01-02 2:30:00</t>
  </si>
  <si>
    <t>2020-01-02 2:45:00</t>
  </si>
  <si>
    <t>2020-01-02 3:00:00</t>
  </si>
  <si>
    <t>2020-01-02 3:15:00</t>
  </si>
  <si>
    <t>2020-01-02 3:30:00</t>
  </si>
  <si>
    <t>2020-01-02 3:45:00</t>
  </si>
  <si>
    <t>2020-01-02 4:00:00</t>
  </si>
  <si>
    <t>2020-01-02 4:15:00</t>
  </si>
  <si>
    <t>2020-01-02 4:30:00</t>
  </si>
  <si>
    <t>2020-01-02 4:45:00</t>
  </si>
  <si>
    <t>2020-01-02 5:00:00</t>
  </si>
  <si>
    <t>2020-01-02 5:15:00</t>
  </si>
  <si>
    <t>2020-01-02 5:30:00</t>
  </si>
  <si>
    <t>2020-01-02 5:45:00</t>
  </si>
  <si>
    <t>2020-01-02 6:00:00</t>
  </si>
  <si>
    <t>2020-01-02 6:15:00</t>
  </si>
  <si>
    <t>2020-01-02 6:30:00</t>
  </si>
  <si>
    <t>2020-01-02 6:45:00</t>
  </si>
  <si>
    <t>2020-01-02 7:00:00</t>
  </si>
  <si>
    <t>2020-01-02 7:15:00</t>
  </si>
  <si>
    <t>2020-01-02 7:30:00</t>
  </si>
  <si>
    <t>2020-01-02 7:45:00</t>
  </si>
  <si>
    <t>2020-01-02 8:00:00</t>
  </si>
  <si>
    <t>2020-01-02 8:15:00</t>
  </si>
  <si>
    <t>2020-01-02 8:30:00</t>
  </si>
  <si>
    <t>2020-01-02 8:45:00</t>
  </si>
  <si>
    <t>2020-01-02 9:00:00</t>
  </si>
  <si>
    <t>2020-01-02 9:15:00</t>
  </si>
  <si>
    <t>2020-01-02 9:30:00</t>
  </si>
  <si>
    <t>2020-01-02 9:45:00</t>
  </si>
  <si>
    <t>2020-01-02 10:00:00</t>
  </si>
  <si>
    <t>2020-01-02 10:15:00</t>
  </si>
  <si>
    <t>2020-01-02 10:30:00</t>
  </si>
  <si>
    <t>2020-01-02 10:45:00</t>
  </si>
  <si>
    <t>2020-01-02 11:00:00</t>
  </si>
  <si>
    <t>2020-01-02 11:15:00</t>
  </si>
  <si>
    <t>2020-01-02 11:30:00</t>
  </si>
  <si>
    <t>2020-01-02 11:45:00</t>
  </si>
  <si>
    <t>2020-01-02 12:00:00</t>
  </si>
  <si>
    <t>2020-01-02 12:15:00</t>
  </si>
  <si>
    <t>2020-01-02 12:30:00</t>
  </si>
  <si>
    <t>2020-01-02 12:45:00</t>
  </si>
  <si>
    <t>2020-01-02 13:00:00</t>
  </si>
  <si>
    <t>2020-01-02 13:15:00</t>
  </si>
  <si>
    <t>2020-01-02 13:30:00</t>
  </si>
  <si>
    <t>2020-01-02 13:45:00</t>
  </si>
  <si>
    <t>2020-01-02 14:00:00</t>
  </si>
  <si>
    <t>2020-01-02 14:15:00</t>
  </si>
  <si>
    <t>2020-01-02 14:30:00</t>
  </si>
  <si>
    <t>2020-01-02 14:45:00</t>
  </si>
  <si>
    <t>2020-01-02 15:00:00</t>
  </si>
  <si>
    <t>2020-01-02 15:15:00</t>
  </si>
  <si>
    <t>2020-01-02 15:30:00</t>
  </si>
  <si>
    <t>2020-01-02 15:45:00</t>
  </si>
  <si>
    <t>2020-01-02 16:00:00</t>
  </si>
  <si>
    <t>2020-01-02 16:15:00</t>
  </si>
  <si>
    <t>2020-01-02 16:30:00</t>
  </si>
  <si>
    <t>2020-01-02 16:45:00</t>
  </si>
  <si>
    <t>2020-01-02 17:00:00</t>
  </si>
  <si>
    <t>2020-01-02 17:15:00</t>
  </si>
  <si>
    <t>2020-01-02 17:30:00</t>
  </si>
  <si>
    <t>2020-01-02 17:45:00</t>
  </si>
  <si>
    <t>2020-01-02 18:00:00</t>
  </si>
  <si>
    <t>2020-01-02 18:15:00</t>
  </si>
  <si>
    <t>2020-01-02 18:30:00</t>
  </si>
  <si>
    <t>2020-01-02 18:45:00</t>
  </si>
  <si>
    <t>2020-01-02 19:00:00</t>
  </si>
  <si>
    <t>2020-01-02 19:15:00</t>
  </si>
  <si>
    <t>2020-01-02 19:30:00</t>
  </si>
  <si>
    <t>2020-01-02 19:45:00</t>
  </si>
  <si>
    <t>2020-01-02 20:00:00</t>
  </si>
  <si>
    <t>2020-01-02 20:15:00</t>
  </si>
  <si>
    <t>2020-01-02 20:30:00</t>
  </si>
  <si>
    <t>2020-01-02 20:45:00</t>
  </si>
  <si>
    <t>2020-01-02 21:00:00</t>
  </si>
  <si>
    <t>2020-01-02 21:15:00</t>
  </si>
  <si>
    <t>2020-01-02 21:30:00</t>
  </si>
  <si>
    <t>2020-01-02 21:45:00</t>
  </si>
  <si>
    <t>2020-01-02 22:00:00</t>
  </si>
  <si>
    <t>2020-01-02 22:15:00</t>
  </si>
  <si>
    <t>2020-01-02 22:30:00</t>
  </si>
  <si>
    <t>2020-01-02 22:45:00</t>
  </si>
  <si>
    <t>2020-01-02 23:00:00</t>
  </si>
  <si>
    <t>2020-01-02 23:15:00</t>
  </si>
  <si>
    <t>2020-01-02 23:30:00</t>
  </si>
  <si>
    <t>2020-01-02 23:45:00</t>
  </si>
  <si>
    <t>2020-01-02 24:00:00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</si>
</sst>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"/>
  <sheetViews>
    <sheetView tabSelected="1" workbookViewId="0">
      <selection activeCell="L3" sqref="L3"/>
    </sheetView>
  </sheetViews>
  <sheetFormatPr baseColWidth="10" defaultColWidth="8.83203125" defaultRowHeight="15" x14ac:dyDescent="0.2"/>
  <cols>
    <col min="1" max="1" width="25.83203125" customWidth="1"/>
    <col min="12" max="12" width="24" customWidth="1"/>
  </cols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1</v>
      </c>
      <c r="T1">
        <v>10000</v>
      </c>
      <c r="U1" t="s">
        <v>4</v>
      </c>
      <c r="V1">
        <v>10000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s="2">
        <v>43832</v>
      </c>
      <c r="B3">
        <v>0.3</v>
      </c>
      <c r="C3">
        <v>0</v>
      </c>
      <c r="D3">
        <v>0</v>
      </c>
      <c r="E3">
        <v>0.3</v>
      </c>
      <c r="F3">
        <v>0</v>
      </c>
      <c r="G3">
        <v>0</v>
      </c>
      <c r="H3">
        <v>99.997</v>
      </c>
      <c r="I3">
        <v>9999.7000000000007</v>
      </c>
      <c r="L3" t="s">
        <v>16</v>
      </c>
      <c r="M3">
        <v>0.3</v>
      </c>
      <c r="N3">
        <v>0</v>
      </c>
      <c r="O3">
        <v>0</v>
      </c>
      <c r="P3">
        <v>0.3</v>
      </c>
      <c r="Q3">
        <v>0</v>
      </c>
      <c r="R3">
        <v>0</v>
      </c>
      <c r="S3" s="1">
        <f t="shared" ref="S3:S34" si="0">T3/V$1</f>
        <v>0.99997000000000003</v>
      </c>
      <c r="T3">
        <f>T1-M3+N3</f>
        <v>9999.7000000000007</v>
      </c>
      <c r="W3" t="s">
        <v>17</v>
      </c>
      <c r="X3" t="s">
        <v>18</v>
      </c>
    </row>
    <row r="4" spans="1:24" x14ac:dyDescent="0.2">
      <c r="A4" s="2">
        <v>43832.010416666657</v>
      </c>
      <c r="B4">
        <v>4.5399999999999991</v>
      </c>
      <c r="C4">
        <v>0</v>
      </c>
      <c r="D4">
        <v>0</v>
      </c>
      <c r="E4">
        <v>4.5399999999999991</v>
      </c>
      <c r="F4">
        <v>0</v>
      </c>
      <c r="G4">
        <v>0</v>
      </c>
      <c r="H4">
        <v>99.951599999999999</v>
      </c>
      <c r="I4">
        <v>9995.16</v>
      </c>
      <c r="L4" t="s">
        <v>19</v>
      </c>
      <c r="M4">
        <v>4.54</v>
      </c>
      <c r="N4">
        <v>0</v>
      </c>
      <c r="O4">
        <v>0</v>
      </c>
      <c r="P4">
        <v>4.5399999999999991</v>
      </c>
      <c r="Q4">
        <v>0</v>
      </c>
      <c r="R4">
        <v>0</v>
      </c>
      <c r="S4" s="1">
        <f t="shared" si="0"/>
        <v>0.99951599999999996</v>
      </c>
      <c r="T4">
        <f t="shared" ref="T4:T35" si="1">T3-M4+N4</f>
        <v>9995.16</v>
      </c>
    </row>
    <row r="5" spans="1:24" x14ac:dyDescent="0.2">
      <c r="A5" s="2">
        <v>43832.020833333343</v>
      </c>
      <c r="B5">
        <v>4.6999999999999993</v>
      </c>
      <c r="C5">
        <v>0</v>
      </c>
      <c r="D5">
        <v>0</v>
      </c>
      <c r="E5">
        <v>4.6999999999999993</v>
      </c>
      <c r="F5">
        <v>0</v>
      </c>
      <c r="G5">
        <v>0</v>
      </c>
      <c r="H5">
        <v>99.904599999999988</v>
      </c>
      <c r="I5">
        <v>9990.4599999999991</v>
      </c>
      <c r="L5" t="s">
        <v>20</v>
      </c>
      <c r="M5">
        <v>4.7</v>
      </c>
      <c r="N5">
        <v>0</v>
      </c>
      <c r="O5">
        <v>0</v>
      </c>
      <c r="P5">
        <v>4.6999999999999993</v>
      </c>
      <c r="Q5">
        <v>0</v>
      </c>
      <c r="R5">
        <v>0</v>
      </c>
      <c r="S5" s="1">
        <f t="shared" si="0"/>
        <v>0.99904599999999988</v>
      </c>
      <c r="T5">
        <f t="shared" si="1"/>
        <v>9990.4599999999991</v>
      </c>
    </row>
    <row r="6" spans="1:24" x14ac:dyDescent="0.2">
      <c r="A6" s="2">
        <v>43832.03125</v>
      </c>
      <c r="B6">
        <v>4.67</v>
      </c>
      <c r="C6">
        <v>0</v>
      </c>
      <c r="D6">
        <v>0</v>
      </c>
      <c r="E6">
        <v>4.67</v>
      </c>
      <c r="F6">
        <v>0</v>
      </c>
      <c r="G6">
        <v>0</v>
      </c>
      <c r="H6">
        <v>99.857899999999987</v>
      </c>
      <c r="I6">
        <v>9985.7899999999991</v>
      </c>
      <c r="L6" t="s">
        <v>21</v>
      </c>
      <c r="M6">
        <v>4.67</v>
      </c>
      <c r="N6">
        <v>0</v>
      </c>
      <c r="O6">
        <v>0</v>
      </c>
      <c r="P6">
        <v>4.67</v>
      </c>
      <c r="Q6">
        <v>0</v>
      </c>
      <c r="R6">
        <v>0</v>
      </c>
      <c r="S6" s="1">
        <f t="shared" si="0"/>
        <v>0.99857899999999988</v>
      </c>
      <c r="T6">
        <f t="shared" si="1"/>
        <v>9985.7899999999991</v>
      </c>
      <c r="V6" t="s">
        <v>22</v>
      </c>
      <c r="W6" t="s">
        <v>23</v>
      </c>
    </row>
    <row r="7" spans="1:24" x14ac:dyDescent="0.2">
      <c r="A7" s="2">
        <v>43832.041666666657</v>
      </c>
      <c r="B7">
        <v>4.32</v>
      </c>
      <c r="C7">
        <v>0</v>
      </c>
      <c r="D7">
        <v>0</v>
      </c>
      <c r="E7">
        <v>4.32</v>
      </c>
      <c r="F7">
        <v>0</v>
      </c>
      <c r="G7">
        <v>0</v>
      </c>
      <c r="H7">
        <v>99.814699999999988</v>
      </c>
      <c r="I7">
        <v>9981.4699999999993</v>
      </c>
      <c r="L7" t="s">
        <v>24</v>
      </c>
      <c r="M7">
        <v>4.32</v>
      </c>
      <c r="N7">
        <v>0</v>
      </c>
      <c r="O7">
        <v>0</v>
      </c>
      <c r="P7">
        <v>4.32</v>
      </c>
      <c r="Q7">
        <v>0</v>
      </c>
      <c r="R7">
        <v>0</v>
      </c>
      <c r="S7" s="1">
        <f t="shared" si="0"/>
        <v>0.9981469999999999</v>
      </c>
      <c r="T7">
        <f t="shared" si="1"/>
        <v>9981.4699999999993</v>
      </c>
      <c r="V7" t="s">
        <v>25</v>
      </c>
      <c r="W7" t="s">
        <v>26</v>
      </c>
    </row>
    <row r="8" spans="1:24" x14ac:dyDescent="0.2">
      <c r="A8" s="2">
        <v>43832.052083333343</v>
      </c>
      <c r="B8">
        <v>5.1300000000000008</v>
      </c>
      <c r="C8">
        <v>0</v>
      </c>
      <c r="D8">
        <v>0</v>
      </c>
      <c r="E8">
        <v>5.1300000000000008</v>
      </c>
      <c r="F8">
        <v>0</v>
      </c>
      <c r="G8">
        <v>0</v>
      </c>
      <c r="H8">
        <v>99.763400000000004</v>
      </c>
      <c r="I8">
        <v>9976.34</v>
      </c>
      <c r="L8" t="s">
        <v>27</v>
      </c>
      <c r="M8">
        <v>5.13</v>
      </c>
      <c r="N8">
        <v>0</v>
      </c>
      <c r="O8">
        <v>0</v>
      </c>
      <c r="P8">
        <v>5.1300000000000008</v>
      </c>
      <c r="Q8">
        <v>0</v>
      </c>
      <c r="R8">
        <v>0</v>
      </c>
      <c r="S8" s="1">
        <f t="shared" si="0"/>
        <v>0.99763400000000002</v>
      </c>
      <c r="T8">
        <f t="shared" si="1"/>
        <v>9976.34</v>
      </c>
      <c r="V8" t="s">
        <v>28</v>
      </c>
      <c r="W8">
        <v>0.01</v>
      </c>
    </row>
    <row r="9" spans="1:24" x14ac:dyDescent="0.2">
      <c r="A9" s="2">
        <v>43832.0625</v>
      </c>
      <c r="B9">
        <v>30.96</v>
      </c>
      <c r="C9">
        <v>0</v>
      </c>
      <c r="D9">
        <v>0</v>
      </c>
      <c r="E9">
        <v>30.96</v>
      </c>
      <c r="F9">
        <v>0</v>
      </c>
      <c r="G9">
        <v>0</v>
      </c>
      <c r="H9">
        <v>99.453800000000015</v>
      </c>
      <c r="I9">
        <v>9945.380000000001</v>
      </c>
      <c r="L9" t="s">
        <v>29</v>
      </c>
      <c r="M9">
        <v>30.96</v>
      </c>
      <c r="N9">
        <v>0</v>
      </c>
      <c r="O9">
        <v>0</v>
      </c>
      <c r="P9">
        <v>30.96</v>
      </c>
      <c r="Q9">
        <v>0</v>
      </c>
      <c r="R9">
        <v>0</v>
      </c>
      <c r="S9" s="1">
        <f t="shared" si="0"/>
        <v>0.99453800000000014</v>
      </c>
      <c r="T9">
        <f t="shared" si="1"/>
        <v>9945.380000000001</v>
      </c>
      <c r="V9" t="s">
        <v>30</v>
      </c>
      <c r="W9">
        <f>W8/60</f>
        <v>1.6666666666666666E-4</v>
      </c>
    </row>
    <row r="10" spans="1:24" x14ac:dyDescent="0.2">
      <c r="A10" s="2">
        <v>43832.072916666657</v>
      </c>
      <c r="B10">
        <v>14.83</v>
      </c>
      <c r="C10">
        <v>0</v>
      </c>
      <c r="D10">
        <v>0</v>
      </c>
      <c r="E10">
        <v>14.83</v>
      </c>
      <c r="F10">
        <v>0</v>
      </c>
      <c r="G10">
        <v>0</v>
      </c>
      <c r="H10">
        <v>99.305500000000009</v>
      </c>
      <c r="I10">
        <v>9930.5500000000011</v>
      </c>
      <c r="L10" t="s">
        <v>31</v>
      </c>
      <c r="M10">
        <v>14.83</v>
      </c>
      <c r="N10">
        <v>0</v>
      </c>
      <c r="O10">
        <v>0</v>
      </c>
      <c r="P10">
        <v>14.83</v>
      </c>
      <c r="Q10">
        <v>0</v>
      </c>
      <c r="R10">
        <v>0</v>
      </c>
      <c r="S10" s="1">
        <f t="shared" si="0"/>
        <v>0.99305500000000013</v>
      </c>
      <c r="T10">
        <f t="shared" si="1"/>
        <v>9930.5500000000011</v>
      </c>
    </row>
    <row r="11" spans="1:24" x14ac:dyDescent="0.2">
      <c r="A11" s="2">
        <v>43832.083333333343</v>
      </c>
      <c r="B11">
        <v>4.1400000000000006</v>
      </c>
      <c r="C11">
        <v>0</v>
      </c>
      <c r="D11">
        <v>0</v>
      </c>
      <c r="E11">
        <v>4.1400000000000006</v>
      </c>
      <c r="F11">
        <v>0</v>
      </c>
      <c r="G11">
        <v>0</v>
      </c>
      <c r="H11">
        <v>99.264100000000028</v>
      </c>
      <c r="I11">
        <v>9926.4100000000017</v>
      </c>
      <c r="L11" t="s">
        <v>32</v>
      </c>
      <c r="M11">
        <v>4.1399999999999997</v>
      </c>
      <c r="N11">
        <v>0</v>
      </c>
      <c r="O11">
        <v>0</v>
      </c>
      <c r="P11">
        <v>4.1400000000000006</v>
      </c>
      <c r="Q11">
        <v>0</v>
      </c>
      <c r="R11">
        <v>0</v>
      </c>
      <c r="S11" s="1">
        <f t="shared" si="0"/>
        <v>0.99264100000000022</v>
      </c>
      <c r="T11">
        <f t="shared" si="1"/>
        <v>9926.4100000000017</v>
      </c>
    </row>
    <row r="12" spans="1:24" x14ac:dyDescent="0.2">
      <c r="A12" s="2">
        <v>43832.09375</v>
      </c>
      <c r="B12">
        <v>4.419999999999999</v>
      </c>
      <c r="C12">
        <v>0</v>
      </c>
      <c r="D12">
        <v>0</v>
      </c>
      <c r="E12">
        <v>4.419999999999999</v>
      </c>
      <c r="F12">
        <v>0</v>
      </c>
      <c r="G12">
        <v>0</v>
      </c>
      <c r="H12">
        <v>99.21990000000001</v>
      </c>
      <c r="I12">
        <v>9921.9900000000016</v>
      </c>
      <c r="L12" t="s">
        <v>33</v>
      </c>
      <c r="M12">
        <v>4.42</v>
      </c>
      <c r="N12">
        <v>0</v>
      </c>
      <c r="O12">
        <v>0</v>
      </c>
      <c r="P12">
        <v>4.419999999999999</v>
      </c>
      <c r="Q12">
        <v>0</v>
      </c>
      <c r="R12">
        <v>0</v>
      </c>
      <c r="S12" s="1">
        <f t="shared" si="0"/>
        <v>0.99219900000000016</v>
      </c>
      <c r="T12">
        <f t="shared" si="1"/>
        <v>9921.9900000000016</v>
      </c>
    </row>
    <row r="13" spans="1:24" x14ac:dyDescent="0.2">
      <c r="A13" s="2">
        <v>43832.104166666657</v>
      </c>
      <c r="B13">
        <v>4.0999999999999996</v>
      </c>
      <c r="C13">
        <v>0</v>
      </c>
      <c r="D13">
        <v>0</v>
      </c>
      <c r="E13">
        <v>4.0999999999999996</v>
      </c>
      <c r="F13">
        <v>0</v>
      </c>
      <c r="G13">
        <v>0</v>
      </c>
      <c r="H13">
        <v>99.178900000000013</v>
      </c>
      <c r="I13">
        <v>9917.8900000000012</v>
      </c>
      <c r="L13" t="s">
        <v>34</v>
      </c>
      <c r="M13">
        <v>4.0999999999999996</v>
      </c>
      <c r="N13">
        <v>0</v>
      </c>
      <c r="O13">
        <v>0</v>
      </c>
      <c r="P13">
        <v>4.0999999999999996</v>
      </c>
      <c r="Q13">
        <v>0</v>
      </c>
      <c r="R13">
        <v>0</v>
      </c>
      <c r="S13" s="1">
        <f t="shared" si="0"/>
        <v>0.99178900000000014</v>
      </c>
      <c r="T13">
        <f t="shared" si="1"/>
        <v>9917.8900000000012</v>
      </c>
    </row>
    <row r="14" spans="1:24" x14ac:dyDescent="0.2">
      <c r="A14" s="2">
        <v>43832.114583333343</v>
      </c>
      <c r="B14">
        <v>3.91</v>
      </c>
      <c r="C14">
        <v>0</v>
      </c>
      <c r="D14">
        <v>0</v>
      </c>
      <c r="E14">
        <v>3.91</v>
      </c>
      <c r="F14">
        <v>0</v>
      </c>
      <c r="G14">
        <v>0</v>
      </c>
      <c r="H14">
        <v>99.139800000000008</v>
      </c>
      <c r="I14">
        <v>9913.9800000000014</v>
      </c>
      <c r="L14" t="s">
        <v>35</v>
      </c>
      <c r="M14">
        <v>3.91</v>
      </c>
      <c r="N14">
        <v>0</v>
      </c>
      <c r="O14">
        <v>0</v>
      </c>
      <c r="P14">
        <v>3.91</v>
      </c>
      <c r="Q14">
        <v>0</v>
      </c>
      <c r="R14">
        <v>0</v>
      </c>
      <c r="S14" s="1">
        <f t="shared" si="0"/>
        <v>0.99139800000000011</v>
      </c>
      <c r="T14">
        <f t="shared" si="1"/>
        <v>9913.9800000000014</v>
      </c>
    </row>
    <row r="15" spans="1:24" x14ac:dyDescent="0.2">
      <c r="A15" s="2">
        <v>43832.125</v>
      </c>
      <c r="B15">
        <v>3.85</v>
      </c>
      <c r="C15">
        <v>0</v>
      </c>
      <c r="D15">
        <v>0</v>
      </c>
      <c r="E15">
        <v>3.85</v>
      </c>
      <c r="F15">
        <v>0</v>
      </c>
      <c r="G15">
        <v>0</v>
      </c>
      <c r="H15">
        <v>99.101300000000009</v>
      </c>
      <c r="I15">
        <v>9910.130000000001</v>
      </c>
      <c r="L15" t="s">
        <v>36</v>
      </c>
      <c r="M15">
        <v>3.85</v>
      </c>
      <c r="N15">
        <v>0</v>
      </c>
      <c r="O15">
        <v>0</v>
      </c>
      <c r="P15">
        <v>3.85</v>
      </c>
      <c r="Q15">
        <v>0</v>
      </c>
      <c r="R15">
        <v>0</v>
      </c>
      <c r="S15" s="1">
        <f t="shared" si="0"/>
        <v>0.99101300000000014</v>
      </c>
      <c r="T15">
        <f t="shared" si="1"/>
        <v>9910.130000000001</v>
      </c>
    </row>
    <row r="16" spans="1:24" x14ac:dyDescent="0.2">
      <c r="A16" s="2">
        <v>43832.135416666657</v>
      </c>
      <c r="B16">
        <v>4.1099999999999994</v>
      </c>
      <c r="C16">
        <v>0</v>
      </c>
      <c r="D16">
        <v>0</v>
      </c>
      <c r="E16">
        <v>4.1099999999999994</v>
      </c>
      <c r="F16">
        <v>0</v>
      </c>
      <c r="G16">
        <v>0</v>
      </c>
      <c r="H16">
        <v>99.060200000000009</v>
      </c>
      <c r="I16">
        <v>9906.02</v>
      </c>
      <c r="L16" t="s">
        <v>37</v>
      </c>
      <c r="M16">
        <v>4.1100000000000003</v>
      </c>
      <c r="N16">
        <v>0</v>
      </c>
      <c r="O16">
        <v>0</v>
      </c>
      <c r="P16">
        <v>4.1099999999999994</v>
      </c>
      <c r="Q16">
        <v>0</v>
      </c>
      <c r="R16">
        <v>0</v>
      </c>
      <c r="S16" s="1">
        <f t="shared" si="0"/>
        <v>0.99060200000000009</v>
      </c>
      <c r="T16">
        <f t="shared" si="1"/>
        <v>9906.02</v>
      </c>
    </row>
    <row r="17" spans="1:20" x14ac:dyDescent="0.2">
      <c r="A17" s="2">
        <v>43832.145833333343</v>
      </c>
      <c r="B17">
        <v>4.8900000000000006</v>
      </c>
      <c r="C17">
        <v>0</v>
      </c>
      <c r="D17">
        <v>0</v>
      </c>
      <c r="E17">
        <v>4.8900000000000006</v>
      </c>
      <c r="F17">
        <v>0</v>
      </c>
      <c r="G17">
        <v>0</v>
      </c>
      <c r="H17">
        <v>99.01130000000002</v>
      </c>
      <c r="I17">
        <v>9901.130000000001</v>
      </c>
      <c r="L17" t="s">
        <v>38</v>
      </c>
      <c r="M17">
        <v>4.8899999999999997</v>
      </c>
      <c r="N17">
        <v>0</v>
      </c>
      <c r="O17">
        <v>0</v>
      </c>
      <c r="P17">
        <v>4.8900000000000006</v>
      </c>
      <c r="Q17">
        <v>0</v>
      </c>
      <c r="R17">
        <v>0</v>
      </c>
      <c r="S17" s="1">
        <f t="shared" si="0"/>
        <v>0.99011300000000013</v>
      </c>
      <c r="T17">
        <f t="shared" si="1"/>
        <v>9901.130000000001</v>
      </c>
    </row>
    <row r="18" spans="1:20" x14ac:dyDescent="0.2">
      <c r="A18" s="2">
        <v>43832.15625</v>
      </c>
      <c r="B18">
        <v>3.9700000000000011</v>
      </c>
      <c r="C18">
        <v>0</v>
      </c>
      <c r="D18">
        <v>0</v>
      </c>
      <c r="E18">
        <v>3.9700000000000011</v>
      </c>
      <c r="F18">
        <v>0</v>
      </c>
      <c r="G18">
        <v>0</v>
      </c>
      <c r="H18">
        <v>98.971600000000009</v>
      </c>
      <c r="I18">
        <v>9897.1600000000017</v>
      </c>
      <c r="L18" t="s">
        <v>39</v>
      </c>
      <c r="M18">
        <v>3.97</v>
      </c>
      <c r="N18">
        <v>0</v>
      </c>
      <c r="O18">
        <v>0</v>
      </c>
      <c r="P18">
        <v>3.9700000000000011</v>
      </c>
      <c r="Q18">
        <v>0</v>
      </c>
      <c r="R18">
        <v>0</v>
      </c>
      <c r="S18" s="1">
        <f t="shared" si="0"/>
        <v>0.98971600000000015</v>
      </c>
      <c r="T18">
        <f t="shared" si="1"/>
        <v>9897.1600000000017</v>
      </c>
    </row>
    <row r="19" spans="1:20" x14ac:dyDescent="0.2">
      <c r="A19" s="2">
        <v>43832.166666666657</v>
      </c>
      <c r="B19">
        <v>4.0599999999999996</v>
      </c>
      <c r="C19">
        <v>0</v>
      </c>
      <c r="D19">
        <v>0</v>
      </c>
      <c r="E19">
        <v>4.0599999999999996</v>
      </c>
      <c r="F19">
        <v>0</v>
      </c>
      <c r="G19">
        <v>0</v>
      </c>
      <c r="H19">
        <v>98.931000000000026</v>
      </c>
      <c r="I19">
        <v>9893.1000000000022</v>
      </c>
      <c r="L19" t="s">
        <v>40</v>
      </c>
      <c r="M19">
        <v>4.0599999999999996</v>
      </c>
      <c r="N19">
        <v>0</v>
      </c>
      <c r="O19">
        <v>0</v>
      </c>
      <c r="P19">
        <v>4.0599999999999996</v>
      </c>
      <c r="Q19">
        <v>0</v>
      </c>
      <c r="R19">
        <v>0</v>
      </c>
      <c r="S19" s="1">
        <f t="shared" si="0"/>
        <v>0.98931000000000024</v>
      </c>
      <c r="T19">
        <f t="shared" si="1"/>
        <v>9893.1000000000022</v>
      </c>
    </row>
    <row r="20" spans="1:20" x14ac:dyDescent="0.2">
      <c r="A20" s="2">
        <v>43832.177083333343</v>
      </c>
      <c r="B20">
        <v>25.52</v>
      </c>
      <c r="C20">
        <v>0</v>
      </c>
      <c r="D20">
        <v>0.05</v>
      </c>
      <c r="E20">
        <v>25.57</v>
      </c>
      <c r="F20">
        <v>0</v>
      </c>
      <c r="G20">
        <v>0</v>
      </c>
      <c r="H20">
        <v>98.67580000000001</v>
      </c>
      <c r="I20">
        <v>9867.5800000000017</v>
      </c>
      <c r="L20" t="s">
        <v>41</v>
      </c>
      <c r="M20">
        <v>25.52</v>
      </c>
      <c r="N20">
        <v>0</v>
      </c>
      <c r="O20">
        <v>0.05</v>
      </c>
      <c r="P20">
        <v>25.57</v>
      </c>
      <c r="Q20">
        <v>0</v>
      </c>
      <c r="R20">
        <v>0</v>
      </c>
      <c r="S20" s="1">
        <f t="shared" si="0"/>
        <v>0.98675800000000014</v>
      </c>
      <c r="T20">
        <f t="shared" si="1"/>
        <v>9867.5800000000017</v>
      </c>
    </row>
    <row r="21" spans="1:20" x14ac:dyDescent="0.2">
      <c r="A21" s="2">
        <v>43832.1875</v>
      </c>
      <c r="B21">
        <v>22.06</v>
      </c>
      <c r="C21">
        <v>0</v>
      </c>
      <c r="D21">
        <v>0.05</v>
      </c>
      <c r="E21">
        <v>22.11</v>
      </c>
      <c r="F21">
        <v>0</v>
      </c>
      <c r="G21">
        <v>0</v>
      </c>
      <c r="H21">
        <v>98.455200000000019</v>
      </c>
      <c r="I21">
        <v>9845.5200000000023</v>
      </c>
      <c r="L21" t="s">
        <v>42</v>
      </c>
      <c r="M21">
        <v>22.06</v>
      </c>
      <c r="N21">
        <v>0</v>
      </c>
      <c r="O21">
        <v>0.05</v>
      </c>
      <c r="P21">
        <v>22.11</v>
      </c>
      <c r="Q21">
        <v>0</v>
      </c>
      <c r="R21">
        <v>0</v>
      </c>
      <c r="S21" s="1">
        <f t="shared" si="0"/>
        <v>0.9845520000000002</v>
      </c>
      <c r="T21">
        <f t="shared" si="1"/>
        <v>9845.5200000000023</v>
      </c>
    </row>
    <row r="22" spans="1:20" x14ac:dyDescent="0.2">
      <c r="A22" s="2">
        <v>43832.197916666657</v>
      </c>
      <c r="B22">
        <v>4.08</v>
      </c>
      <c r="C22">
        <v>0</v>
      </c>
      <c r="D22">
        <v>0</v>
      </c>
      <c r="E22">
        <v>4.08</v>
      </c>
      <c r="F22">
        <v>0</v>
      </c>
      <c r="G22">
        <v>0</v>
      </c>
      <c r="H22">
        <v>98.414400000000029</v>
      </c>
      <c r="I22">
        <v>9841.4400000000023</v>
      </c>
      <c r="L22" t="s">
        <v>43</v>
      </c>
      <c r="M22">
        <v>4.08</v>
      </c>
      <c r="N22">
        <v>0</v>
      </c>
      <c r="O22">
        <v>0</v>
      </c>
      <c r="P22">
        <v>4.08</v>
      </c>
      <c r="Q22">
        <v>0</v>
      </c>
      <c r="R22">
        <v>0</v>
      </c>
      <c r="S22" s="1">
        <f t="shared" si="0"/>
        <v>0.98414400000000024</v>
      </c>
      <c r="T22">
        <f t="shared" si="1"/>
        <v>9841.4400000000023</v>
      </c>
    </row>
    <row r="23" spans="1:20" x14ac:dyDescent="0.2">
      <c r="A23" s="2">
        <v>43832.208333333343</v>
      </c>
      <c r="B23">
        <v>3.88</v>
      </c>
      <c r="C23">
        <v>0</v>
      </c>
      <c r="D23">
        <v>0</v>
      </c>
      <c r="E23">
        <v>3.88</v>
      </c>
      <c r="F23">
        <v>0</v>
      </c>
      <c r="G23">
        <v>0</v>
      </c>
      <c r="H23">
        <v>98.375600000000034</v>
      </c>
      <c r="I23">
        <v>9837.5600000000031</v>
      </c>
      <c r="L23" t="s">
        <v>44</v>
      </c>
      <c r="M23">
        <v>3.88</v>
      </c>
      <c r="N23">
        <v>0</v>
      </c>
      <c r="O23">
        <v>0</v>
      </c>
      <c r="P23">
        <v>3.88</v>
      </c>
      <c r="Q23">
        <v>0</v>
      </c>
      <c r="R23">
        <v>0</v>
      </c>
      <c r="S23" s="1">
        <f t="shared" si="0"/>
        <v>0.9837560000000003</v>
      </c>
      <c r="T23">
        <f t="shared" si="1"/>
        <v>9837.5600000000031</v>
      </c>
    </row>
    <row r="24" spans="1:20" x14ac:dyDescent="0.2">
      <c r="A24" s="2">
        <v>43832.21875</v>
      </c>
      <c r="B24">
        <v>3.95</v>
      </c>
      <c r="C24">
        <v>0</v>
      </c>
      <c r="D24">
        <v>0</v>
      </c>
      <c r="E24">
        <v>3.95</v>
      </c>
      <c r="F24">
        <v>0</v>
      </c>
      <c r="G24">
        <v>0</v>
      </c>
      <c r="H24">
        <v>98.33610000000003</v>
      </c>
      <c r="I24">
        <v>9833.6100000000024</v>
      </c>
      <c r="L24" t="s">
        <v>45</v>
      </c>
      <c r="M24">
        <v>3.95</v>
      </c>
      <c r="N24">
        <v>0</v>
      </c>
      <c r="O24">
        <v>0</v>
      </c>
      <c r="P24">
        <v>3.95</v>
      </c>
      <c r="Q24">
        <v>0</v>
      </c>
      <c r="R24">
        <v>0</v>
      </c>
      <c r="S24" s="1">
        <f t="shared" si="0"/>
        <v>0.98336100000000026</v>
      </c>
      <c r="T24">
        <f t="shared" si="1"/>
        <v>9833.6100000000024</v>
      </c>
    </row>
    <row r="25" spans="1:20" x14ac:dyDescent="0.2">
      <c r="A25" s="2">
        <v>43832.229166666657</v>
      </c>
      <c r="B25">
        <v>4.120000000000001</v>
      </c>
      <c r="C25">
        <v>0</v>
      </c>
      <c r="D25">
        <v>0</v>
      </c>
      <c r="E25">
        <v>4.120000000000001</v>
      </c>
      <c r="F25">
        <v>0</v>
      </c>
      <c r="G25">
        <v>0</v>
      </c>
      <c r="H25">
        <v>98.294900000000013</v>
      </c>
      <c r="I25">
        <v>9829.4900000000016</v>
      </c>
      <c r="L25" t="s">
        <v>46</v>
      </c>
      <c r="M25">
        <v>4.12</v>
      </c>
      <c r="N25">
        <v>0</v>
      </c>
      <c r="O25">
        <v>0</v>
      </c>
      <c r="P25">
        <v>4.120000000000001</v>
      </c>
      <c r="Q25">
        <v>0</v>
      </c>
      <c r="R25">
        <v>0</v>
      </c>
      <c r="S25" s="1">
        <f t="shared" si="0"/>
        <v>0.98294900000000018</v>
      </c>
      <c r="T25">
        <f t="shared" si="1"/>
        <v>9829.4900000000016</v>
      </c>
    </row>
    <row r="26" spans="1:20" x14ac:dyDescent="0.2">
      <c r="A26" s="2">
        <v>43832.239583333343</v>
      </c>
      <c r="B26">
        <v>4.1000000000000014</v>
      </c>
      <c r="C26">
        <v>0</v>
      </c>
      <c r="D26">
        <v>0</v>
      </c>
      <c r="E26">
        <v>4.1000000000000014</v>
      </c>
      <c r="F26">
        <v>0</v>
      </c>
      <c r="G26">
        <v>0</v>
      </c>
      <c r="H26">
        <v>98.253900000000016</v>
      </c>
      <c r="I26">
        <v>9825.3900000000012</v>
      </c>
      <c r="L26" t="s">
        <v>47</v>
      </c>
      <c r="M26">
        <v>4.0999999999999996</v>
      </c>
      <c r="N26">
        <v>0</v>
      </c>
      <c r="O26">
        <v>0</v>
      </c>
      <c r="P26">
        <v>4.1000000000000014</v>
      </c>
      <c r="Q26">
        <v>0</v>
      </c>
      <c r="R26">
        <v>0</v>
      </c>
      <c r="S26" s="1">
        <f t="shared" si="0"/>
        <v>0.98253900000000016</v>
      </c>
      <c r="T26">
        <f t="shared" si="1"/>
        <v>9825.3900000000012</v>
      </c>
    </row>
    <row r="27" spans="1:20" x14ac:dyDescent="0.2">
      <c r="A27" s="2">
        <v>43832.25</v>
      </c>
      <c r="B27">
        <v>4.1900000000000022</v>
      </c>
      <c r="C27">
        <v>0</v>
      </c>
      <c r="D27">
        <v>0</v>
      </c>
      <c r="E27">
        <v>4.1900000000000022</v>
      </c>
      <c r="F27">
        <v>0</v>
      </c>
      <c r="G27">
        <v>0</v>
      </c>
      <c r="H27">
        <v>98.212000000000018</v>
      </c>
      <c r="I27">
        <v>9821.2000000000007</v>
      </c>
      <c r="L27" t="s">
        <v>48</v>
      </c>
      <c r="M27">
        <v>4.1900000000000004</v>
      </c>
      <c r="N27">
        <v>0</v>
      </c>
      <c r="O27">
        <v>0</v>
      </c>
      <c r="P27">
        <v>4.1900000000000022</v>
      </c>
      <c r="Q27">
        <v>0</v>
      </c>
      <c r="R27">
        <v>0</v>
      </c>
      <c r="S27" s="1">
        <f t="shared" si="0"/>
        <v>0.9821200000000001</v>
      </c>
      <c r="T27">
        <f t="shared" si="1"/>
        <v>9821.2000000000007</v>
      </c>
    </row>
    <row r="28" spans="1:20" x14ac:dyDescent="0.2">
      <c r="A28" s="2">
        <v>43832.260416666657</v>
      </c>
      <c r="B28">
        <v>4.1300000000000008</v>
      </c>
      <c r="C28">
        <v>0</v>
      </c>
      <c r="D28">
        <v>0</v>
      </c>
      <c r="E28">
        <v>4.1300000000000008</v>
      </c>
      <c r="F28">
        <v>0</v>
      </c>
      <c r="G28">
        <v>0</v>
      </c>
      <c r="H28">
        <v>98.170700000000011</v>
      </c>
      <c r="I28">
        <v>9817.0700000000015</v>
      </c>
      <c r="L28" t="s">
        <v>49</v>
      </c>
      <c r="M28">
        <v>4.13</v>
      </c>
      <c r="N28">
        <v>0</v>
      </c>
      <c r="O28">
        <v>0</v>
      </c>
      <c r="P28">
        <v>4.1300000000000008</v>
      </c>
      <c r="Q28">
        <v>0</v>
      </c>
      <c r="R28">
        <v>0</v>
      </c>
      <c r="S28" s="1">
        <f t="shared" si="0"/>
        <v>0.98170700000000011</v>
      </c>
      <c r="T28">
        <f t="shared" si="1"/>
        <v>9817.0700000000015</v>
      </c>
    </row>
    <row r="29" spans="1:20" x14ac:dyDescent="0.2">
      <c r="A29" s="2">
        <v>43832.270833333343</v>
      </c>
      <c r="B29">
        <v>4.2400000000000011</v>
      </c>
      <c r="C29">
        <v>0</v>
      </c>
      <c r="D29">
        <v>0</v>
      </c>
      <c r="E29">
        <v>4.2400000000000011</v>
      </c>
      <c r="F29">
        <v>0</v>
      </c>
      <c r="G29">
        <v>0</v>
      </c>
      <c r="H29">
        <v>98.12830000000001</v>
      </c>
      <c r="I29">
        <v>9812.8300000000017</v>
      </c>
      <c r="L29" t="s">
        <v>50</v>
      </c>
      <c r="M29">
        <v>4.24</v>
      </c>
      <c r="N29">
        <v>0</v>
      </c>
      <c r="O29">
        <v>0</v>
      </c>
      <c r="P29">
        <v>4.2400000000000011</v>
      </c>
      <c r="Q29">
        <v>0</v>
      </c>
      <c r="R29">
        <v>0</v>
      </c>
      <c r="S29" s="1">
        <f t="shared" si="0"/>
        <v>0.98128300000000013</v>
      </c>
      <c r="T29">
        <f t="shared" si="1"/>
        <v>9812.8300000000017</v>
      </c>
    </row>
    <row r="30" spans="1:20" x14ac:dyDescent="0.2">
      <c r="A30" s="2">
        <v>43832.28125</v>
      </c>
      <c r="B30">
        <v>4.2100000000000017</v>
      </c>
      <c r="C30">
        <v>0</v>
      </c>
      <c r="D30">
        <v>0</v>
      </c>
      <c r="E30">
        <v>4.2100000000000017</v>
      </c>
      <c r="F30">
        <v>0</v>
      </c>
      <c r="G30">
        <v>0</v>
      </c>
      <c r="H30">
        <v>98.086200000000019</v>
      </c>
      <c r="I30">
        <v>9808.6200000000026</v>
      </c>
      <c r="L30" t="s">
        <v>51</v>
      </c>
      <c r="M30">
        <v>4.21</v>
      </c>
      <c r="N30">
        <v>0</v>
      </c>
      <c r="O30">
        <v>0</v>
      </c>
      <c r="P30">
        <v>4.2100000000000017</v>
      </c>
      <c r="Q30">
        <v>0</v>
      </c>
      <c r="R30">
        <v>0</v>
      </c>
      <c r="S30" s="1">
        <f t="shared" si="0"/>
        <v>0.98086200000000023</v>
      </c>
      <c r="T30">
        <f t="shared" si="1"/>
        <v>9808.6200000000026</v>
      </c>
    </row>
    <row r="31" spans="1:20" x14ac:dyDescent="0.2">
      <c r="A31" s="2">
        <v>43832.291666666657</v>
      </c>
      <c r="B31">
        <v>15.36</v>
      </c>
      <c r="C31">
        <v>0</v>
      </c>
      <c r="D31">
        <v>0</v>
      </c>
      <c r="E31">
        <v>15.36</v>
      </c>
      <c r="F31">
        <v>0</v>
      </c>
      <c r="G31">
        <v>0</v>
      </c>
      <c r="H31">
        <v>97.932600000000022</v>
      </c>
      <c r="I31">
        <v>9793.260000000002</v>
      </c>
      <c r="L31" t="s">
        <v>52</v>
      </c>
      <c r="M31">
        <v>15.36</v>
      </c>
      <c r="N31">
        <v>0</v>
      </c>
      <c r="O31">
        <v>0</v>
      </c>
      <c r="P31">
        <v>15.36</v>
      </c>
      <c r="Q31">
        <v>0</v>
      </c>
      <c r="R31">
        <v>0</v>
      </c>
      <c r="S31" s="1">
        <f t="shared" si="0"/>
        <v>0.97932600000000025</v>
      </c>
      <c r="T31">
        <f t="shared" si="1"/>
        <v>9793.260000000002</v>
      </c>
    </row>
    <row r="32" spans="1:20" x14ac:dyDescent="0.2">
      <c r="A32" s="2">
        <v>43832.302083333343</v>
      </c>
      <c r="B32">
        <v>29.56</v>
      </c>
      <c r="C32">
        <v>0</v>
      </c>
      <c r="D32">
        <v>0</v>
      </c>
      <c r="E32">
        <v>29.56</v>
      </c>
      <c r="F32">
        <v>0</v>
      </c>
      <c r="G32">
        <v>0</v>
      </c>
      <c r="H32">
        <v>97.637000000000029</v>
      </c>
      <c r="I32">
        <v>9763.7000000000025</v>
      </c>
      <c r="L32" t="s">
        <v>53</v>
      </c>
      <c r="M32">
        <v>29.56</v>
      </c>
      <c r="N32">
        <v>0</v>
      </c>
      <c r="O32">
        <v>0</v>
      </c>
      <c r="P32">
        <v>29.56</v>
      </c>
      <c r="Q32">
        <v>0</v>
      </c>
      <c r="R32">
        <v>0</v>
      </c>
      <c r="S32" s="1">
        <f t="shared" si="0"/>
        <v>0.97637000000000029</v>
      </c>
      <c r="T32">
        <f t="shared" si="1"/>
        <v>9763.7000000000025</v>
      </c>
    </row>
    <row r="33" spans="1:20" x14ac:dyDescent="0.2">
      <c r="A33" s="2">
        <v>43832.3125</v>
      </c>
      <c r="B33">
        <v>6.0500000000000016</v>
      </c>
      <c r="C33">
        <v>0</v>
      </c>
      <c r="D33">
        <v>0</v>
      </c>
      <c r="E33">
        <v>6.0500000000000016</v>
      </c>
      <c r="F33">
        <v>0</v>
      </c>
      <c r="G33">
        <v>0</v>
      </c>
      <c r="H33">
        <v>97.576500000000038</v>
      </c>
      <c r="I33">
        <v>9757.6500000000033</v>
      </c>
      <c r="L33" t="s">
        <v>54</v>
      </c>
      <c r="M33">
        <v>6.05</v>
      </c>
      <c r="N33">
        <v>0</v>
      </c>
      <c r="O33">
        <v>0</v>
      </c>
      <c r="P33">
        <v>6.0500000000000016</v>
      </c>
      <c r="Q33">
        <v>0</v>
      </c>
      <c r="R33">
        <v>0</v>
      </c>
      <c r="S33" s="1">
        <f t="shared" si="0"/>
        <v>0.97576500000000033</v>
      </c>
      <c r="T33">
        <f t="shared" si="1"/>
        <v>9757.6500000000033</v>
      </c>
    </row>
    <row r="34" spans="1:20" x14ac:dyDescent="0.2">
      <c r="A34" s="2">
        <v>43832.322916666657</v>
      </c>
      <c r="B34">
        <v>4.1500000000000004</v>
      </c>
      <c r="C34">
        <v>0</v>
      </c>
      <c r="D34">
        <v>0</v>
      </c>
      <c r="E34">
        <v>4.1500000000000004</v>
      </c>
      <c r="F34">
        <v>0</v>
      </c>
      <c r="G34">
        <v>0</v>
      </c>
      <c r="H34">
        <v>97.535000000000039</v>
      </c>
      <c r="I34">
        <v>9753.5000000000036</v>
      </c>
      <c r="L34" t="s">
        <v>55</v>
      </c>
      <c r="M34">
        <v>4.1500000000000004</v>
      </c>
      <c r="N34">
        <v>0</v>
      </c>
      <c r="O34">
        <v>0</v>
      </c>
      <c r="P34">
        <v>4.1500000000000004</v>
      </c>
      <c r="Q34">
        <v>0</v>
      </c>
      <c r="R34">
        <v>0</v>
      </c>
      <c r="S34" s="1">
        <f t="shared" si="0"/>
        <v>0.97535000000000038</v>
      </c>
      <c r="T34">
        <f t="shared" si="1"/>
        <v>9753.5000000000036</v>
      </c>
    </row>
    <row r="35" spans="1:20" x14ac:dyDescent="0.2">
      <c r="A35" s="2">
        <v>43832.333333333343</v>
      </c>
      <c r="B35">
        <v>4.07</v>
      </c>
      <c r="C35">
        <v>0</v>
      </c>
      <c r="D35">
        <v>0</v>
      </c>
      <c r="E35">
        <v>4.07</v>
      </c>
      <c r="F35">
        <v>0</v>
      </c>
      <c r="G35">
        <v>0</v>
      </c>
      <c r="H35">
        <v>97.494300000000038</v>
      </c>
      <c r="I35">
        <v>9749.4300000000039</v>
      </c>
      <c r="L35" t="s">
        <v>56</v>
      </c>
      <c r="M35">
        <v>4.07</v>
      </c>
      <c r="N35">
        <v>0</v>
      </c>
      <c r="O35">
        <v>0</v>
      </c>
      <c r="P35">
        <v>4.07</v>
      </c>
      <c r="Q35">
        <v>0</v>
      </c>
      <c r="R35">
        <v>0</v>
      </c>
      <c r="S35" s="1">
        <f t="shared" ref="S35:S66" si="2">T35/V$1</f>
        <v>0.97494300000000045</v>
      </c>
      <c r="T35">
        <f t="shared" si="1"/>
        <v>9749.4300000000039</v>
      </c>
    </row>
    <row r="36" spans="1:20" x14ac:dyDescent="0.2">
      <c r="A36" s="2">
        <v>43832.34375</v>
      </c>
      <c r="B36">
        <v>3.95</v>
      </c>
      <c r="C36">
        <v>0</v>
      </c>
      <c r="D36">
        <v>0</v>
      </c>
      <c r="E36">
        <v>3.95</v>
      </c>
      <c r="F36">
        <v>0</v>
      </c>
      <c r="G36">
        <v>0</v>
      </c>
      <c r="H36">
        <v>97.454800000000034</v>
      </c>
      <c r="I36">
        <v>9745.4800000000032</v>
      </c>
      <c r="L36" t="s">
        <v>57</v>
      </c>
      <c r="M36">
        <v>3.95</v>
      </c>
      <c r="N36">
        <v>0</v>
      </c>
      <c r="O36">
        <v>0</v>
      </c>
      <c r="P36">
        <v>3.95</v>
      </c>
      <c r="Q36">
        <v>0</v>
      </c>
      <c r="R36">
        <v>0</v>
      </c>
      <c r="S36" s="1">
        <f t="shared" si="2"/>
        <v>0.9745480000000003</v>
      </c>
      <c r="T36">
        <f t="shared" ref="T36:T67" si="3">T35-M36+N36</f>
        <v>9745.4800000000032</v>
      </c>
    </row>
    <row r="37" spans="1:20" x14ac:dyDescent="0.2">
      <c r="A37" s="2">
        <v>43832.354166666657</v>
      </c>
      <c r="B37">
        <v>4.1900000000000004</v>
      </c>
      <c r="C37">
        <v>0</v>
      </c>
      <c r="D37">
        <v>0</v>
      </c>
      <c r="E37">
        <v>4.1900000000000004</v>
      </c>
      <c r="F37">
        <v>0</v>
      </c>
      <c r="G37">
        <v>0</v>
      </c>
      <c r="H37">
        <v>97.412900000000022</v>
      </c>
      <c r="I37">
        <v>9741.2900000000027</v>
      </c>
      <c r="L37" t="s">
        <v>58</v>
      </c>
      <c r="M37">
        <v>4.1900000000000004</v>
      </c>
      <c r="N37">
        <v>0</v>
      </c>
      <c r="O37">
        <v>0</v>
      </c>
      <c r="P37">
        <v>4.1900000000000004</v>
      </c>
      <c r="Q37">
        <v>0</v>
      </c>
      <c r="R37">
        <v>0</v>
      </c>
      <c r="S37" s="1">
        <f t="shared" si="2"/>
        <v>0.97412900000000024</v>
      </c>
      <c r="T37">
        <f t="shared" si="3"/>
        <v>9741.2900000000027</v>
      </c>
    </row>
    <row r="38" spans="1:20" x14ac:dyDescent="0.2">
      <c r="A38" s="2">
        <v>43832.364583333343</v>
      </c>
      <c r="B38">
        <v>2.830000000000001</v>
      </c>
      <c r="C38">
        <v>0</v>
      </c>
      <c r="D38">
        <v>0</v>
      </c>
      <c r="E38">
        <v>2.830000000000001</v>
      </c>
      <c r="F38">
        <v>0</v>
      </c>
      <c r="G38">
        <v>0</v>
      </c>
      <c r="H38">
        <v>97.384600000000034</v>
      </c>
      <c r="I38">
        <v>9738.4600000000028</v>
      </c>
      <c r="L38" t="s">
        <v>59</v>
      </c>
      <c r="M38">
        <v>2.83</v>
      </c>
      <c r="N38">
        <v>0</v>
      </c>
      <c r="O38">
        <v>0</v>
      </c>
      <c r="P38">
        <v>2.830000000000001</v>
      </c>
      <c r="Q38">
        <v>0</v>
      </c>
      <c r="R38">
        <v>0</v>
      </c>
      <c r="S38" s="1">
        <f t="shared" si="2"/>
        <v>0.97384600000000032</v>
      </c>
      <c r="T38">
        <f t="shared" si="3"/>
        <v>9738.4600000000028</v>
      </c>
    </row>
    <row r="39" spans="1:20" x14ac:dyDescent="0.2">
      <c r="A39" s="2">
        <v>43832.375</v>
      </c>
      <c r="B39">
        <v>0.76000000000000023</v>
      </c>
      <c r="C39">
        <v>0</v>
      </c>
      <c r="D39">
        <v>0.03</v>
      </c>
      <c r="E39">
        <v>0.79000000000000026</v>
      </c>
      <c r="F39">
        <v>0</v>
      </c>
      <c r="G39">
        <v>0</v>
      </c>
      <c r="H39">
        <v>97.377000000000024</v>
      </c>
      <c r="I39">
        <v>9737.7000000000025</v>
      </c>
      <c r="L39" t="s">
        <v>60</v>
      </c>
      <c r="M39">
        <v>0.76</v>
      </c>
      <c r="N39">
        <v>0</v>
      </c>
      <c r="O39">
        <v>0.03</v>
      </c>
      <c r="P39">
        <v>0.79000000000000026</v>
      </c>
      <c r="Q39">
        <v>0</v>
      </c>
      <c r="R39">
        <v>0</v>
      </c>
      <c r="S39" s="1">
        <f t="shared" si="2"/>
        <v>0.97377000000000025</v>
      </c>
      <c r="T39">
        <f t="shared" si="3"/>
        <v>9737.7000000000025</v>
      </c>
    </row>
    <row r="40" spans="1:20" x14ac:dyDescent="0.2">
      <c r="A40" s="2">
        <v>43832.385416666657</v>
      </c>
      <c r="B40">
        <v>1.0900000000000001</v>
      </c>
      <c r="C40">
        <v>0</v>
      </c>
      <c r="D40">
        <v>0.41</v>
      </c>
      <c r="E40">
        <v>1.5</v>
      </c>
      <c r="F40">
        <v>0</v>
      </c>
      <c r="G40">
        <v>0</v>
      </c>
      <c r="H40">
        <v>97.366100000000017</v>
      </c>
      <c r="I40">
        <v>9736.6100000000024</v>
      </c>
      <c r="L40" t="s">
        <v>61</v>
      </c>
      <c r="M40">
        <v>1.0900000000000001</v>
      </c>
      <c r="N40">
        <v>0</v>
      </c>
      <c r="O40">
        <v>0.41</v>
      </c>
      <c r="P40">
        <v>1.5</v>
      </c>
      <c r="Q40">
        <v>0</v>
      </c>
      <c r="R40">
        <v>0</v>
      </c>
      <c r="S40" s="1">
        <f t="shared" si="2"/>
        <v>0.97366100000000022</v>
      </c>
      <c r="T40">
        <f t="shared" si="3"/>
        <v>9736.6100000000024</v>
      </c>
    </row>
    <row r="41" spans="1:20" x14ac:dyDescent="0.2">
      <c r="A41" s="2">
        <v>43832.395833333343</v>
      </c>
      <c r="B41">
        <v>2.76</v>
      </c>
      <c r="C41">
        <v>0</v>
      </c>
      <c r="D41">
        <v>7.0000000000000007E-2</v>
      </c>
      <c r="E41">
        <v>2.83</v>
      </c>
      <c r="F41">
        <v>0</v>
      </c>
      <c r="G41">
        <v>0</v>
      </c>
      <c r="H41">
        <v>97.33850000000001</v>
      </c>
      <c r="I41">
        <v>9733.8500000000022</v>
      </c>
      <c r="L41" t="s">
        <v>62</v>
      </c>
      <c r="M41">
        <v>2.76</v>
      </c>
      <c r="N41">
        <v>0</v>
      </c>
      <c r="O41">
        <v>7.0000000000000007E-2</v>
      </c>
      <c r="P41">
        <v>2.83</v>
      </c>
      <c r="Q41">
        <v>0</v>
      </c>
      <c r="R41">
        <v>0</v>
      </c>
      <c r="S41" s="1">
        <f t="shared" si="2"/>
        <v>0.97338500000000017</v>
      </c>
      <c r="T41">
        <f t="shared" si="3"/>
        <v>9733.8500000000022</v>
      </c>
    </row>
    <row r="42" spans="1:20" x14ac:dyDescent="0.2">
      <c r="A42" s="2">
        <v>43832.40625</v>
      </c>
      <c r="B42">
        <v>7.1599999999999993</v>
      </c>
      <c r="C42">
        <v>0</v>
      </c>
      <c r="D42">
        <v>2.54</v>
      </c>
      <c r="E42">
        <v>9.6999999999999993</v>
      </c>
      <c r="F42">
        <v>0</v>
      </c>
      <c r="G42">
        <v>0</v>
      </c>
      <c r="H42">
        <v>97.266900000000021</v>
      </c>
      <c r="I42">
        <v>9726.6900000000023</v>
      </c>
      <c r="L42" t="s">
        <v>63</v>
      </c>
      <c r="M42">
        <v>7.16</v>
      </c>
      <c r="N42">
        <v>0</v>
      </c>
      <c r="O42">
        <v>2.54</v>
      </c>
      <c r="P42">
        <v>9.6999999999999993</v>
      </c>
      <c r="Q42">
        <v>0</v>
      </c>
      <c r="R42">
        <v>0</v>
      </c>
      <c r="S42" s="1">
        <f t="shared" si="2"/>
        <v>0.97266900000000023</v>
      </c>
      <c r="T42">
        <f t="shared" si="3"/>
        <v>9726.6900000000023</v>
      </c>
    </row>
    <row r="43" spans="1:20" x14ac:dyDescent="0.2">
      <c r="A43" s="2">
        <v>43832.416666666657</v>
      </c>
      <c r="B43">
        <v>10.98</v>
      </c>
      <c r="C43">
        <v>0</v>
      </c>
      <c r="D43">
        <v>18.21</v>
      </c>
      <c r="E43">
        <v>29.19</v>
      </c>
      <c r="F43">
        <v>0</v>
      </c>
      <c r="G43">
        <v>0</v>
      </c>
      <c r="H43">
        <v>97.157100000000028</v>
      </c>
      <c r="I43">
        <v>9715.7100000000028</v>
      </c>
      <c r="L43" t="s">
        <v>64</v>
      </c>
      <c r="M43">
        <v>10.98</v>
      </c>
      <c r="N43">
        <v>0</v>
      </c>
      <c r="O43">
        <v>18.21</v>
      </c>
      <c r="P43">
        <v>29.19</v>
      </c>
      <c r="Q43">
        <v>0</v>
      </c>
      <c r="R43">
        <v>0</v>
      </c>
      <c r="S43" s="1">
        <f t="shared" si="2"/>
        <v>0.9715710000000003</v>
      </c>
      <c r="T43">
        <f t="shared" si="3"/>
        <v>9715.7100000000028</v>
      </c>
    </row>
    <row r="44" spans="1:20" x14ac:dyDescent="0.2">
      <c r="A44" s="2">
        <v>43832.427083333343</v>
      </c>
      <c r="B44">
        <v>0</v>
      </c>
      <c r="C44">
        <v>18.21</v>
      </c>
      <c r="D44">
        <v>24.15</v>
      </c>
      <c r="E44">
        <v>5.94</v>
      </c>
      <c r="F44">
        <v>0</v>
      </c>
      <c r="G44">
        <v>0</v>
      </c>
      <c r="H44">
        <v>97.339200000000019</v>
      </c>
      <c r="I44">
        <v>9733.9200000000019</v>
      </c>
      <c r="L44" t="s">
        <v>65</v>
      </c>
      <c r="M44">
        <v>0</v>
      </c>
      <c r="N44">
        <v>0</v>
      </c>
      <c r="O44">
        <v>24.15</v>
      </c>
      <c r="P44">
        <v>5.94</v>
      </c>
      <c r="Q44">
        <v>18.21</v>
      </c>
      <c r="R44">
        <v>0</v>
      </c>
      <c r="S44" s="1">
        <f t="shared" si="2"/>
        <v>0.9715710000000003</v>
      </c>
      <c r="T44">
        <f t="shared" si="3"/>
        <v>9715.7100000000028</v>
      </c>
    </row>
    <row r="45" spans="1:20" x14ac:dyDescent="0.2">
      <c r="A45" s="2">
        <v>43832.4375</v>
      </c>
      <c r="B45">
        <v>0</v>
      </c>
      <c r="C45">
        <v>5.9499999999999993</v>
      </c>
      <c r="D45">
        <v>8.19</v>
      </c>
      <c r="E45">
        <v>2.2400000000000002</v>
      </c>
      <c r="F45">
        <v>0</v>
      </c>
      <c r="G45">
        <v>0</v>
      </c>
      <c r="H45">
        <v>97.398700000000034</v>
      </c>
      <c r="I45">
        <v>9739.8700000000026</v>
      </c>
      <c r="L45" t="s">
        <v>66</v>
      </c>
      <c r="M45">
        <v>0</v>
      </c>
      <c r="N45">
        <v>0</v>
      </c>
      <c r="O45">
        <v>8.19</v>
      </c>
      <c r="P45">
        <v>2.2400000000000002</v>
      </c>
      <c r="Q45">
        <v>5.9499999999999993</v>
      </c>
      <c r="R45">
        <v>0</v>
      </c>
      <c r="S45" s="1">
        <f t="shared" si="2"/>
        <v>0.9715710000000003</v>
      </c>
      <c r="T45">
        <f t="shared" si="3"/>
        <v>9715.7100000000028</v>
      </c>
    </row>
    <row r="46" spans="1:20" x14ac:dyDescent="0.2">
      <c r="A46" s="2">
        <v>43832.447916666657</v>
      </c>
      <c r="B46">
        <v>0</v>
      </c>
      <c r="C46">
        <v>26.41</v>
      </c>
      <c r="D46">
        <v>27.46</v>
      </c>
      <c r="E46">
        <v>1.05</v>
      </c>
      <c r="F46">
        <v>0</v>
      </c>
      <c r="G46">
        <v>0</v>
      </c>
      <c r="H46">
        <v>97.662800000000033</v>
      </c>
      <c r="I46">
        <v>9766.2800000000025</v>
      </c>
      <c r="L46" t="s">
        <v>67</v>
      </c>
      <c r="M46">
        <v>0</v>
      </c>
      <c r="N46">
        <v>0</v>
      </c>
      <c r="O46">
        <v>27.46</v>
      </c>
      <c r="P46">
        <v>1.05</v>
      </c>
      <c r="Q46">
        <v>26.41</v>
      </c>
      <c r="R46">
        <v>0</v>
      </c>
      <c r="S46" s="1">
        <f t="shared" si="2"/>
        <v>0.9715710000000003</v>
      </c>
      <c r="T46">
        <f t="shared" si="3"/>
        <v>9715.7100000000028</v>
      </c>
    </row>
    <row r="47" spans="1:20" x14ac:dyDescent="0.2">
      <c r="A47" s="2">
        <v>43832.458333333343</v>
      </c>
      <c r="B47">
        <v>0</v>
      </c>
      <c r="C47">
        <v>31.26</v>
      </c>
      <c r="D47">
        <v>32.97</v>
      </c>
      <c r="E47">
        <v>1.71</v>
      </c>
      <c r="F47">
        <v>0</v>
      </c>
      <c r="G47">
        <v>0</v>
      </c>
      <c r="H47">
        <v>97.975400000000022</v>
      </c>
      <c r="I47">
        <v>9797.5400000000027</v>
      </c>
      <c r="L47" t="s">
        <v>68</v>
      </c>
      <c r="M47">
        <v>0</v>
      </c>
      <c r="N47">
        <v>0</v>
      </c>
      <c r="O47">
        <v>32.97</v>
      </c>
      <c r="P47">
        <v>1.71</v>
      </c>
      <c r="Q47">
        <v>31.26</v>
      </c>
      <c r="R47">
        <v>0</v>
      </c>
      <c r="S47" s="1">
        <f t="shared" si="2"/>
        <v>0.9715710000000003</v>
      </c>
      <c r="T47">
        <f t="shared" si="3"/>
        <v>9715.7100000000028</v>
      </c>
    </row>
    <row r="48" spans="1:20" x14ac:dyDescent="0.2">
      <c r="A48" s="2">
        <v>43832.46875</v>
      </c>
      <c r="B48">
        <v>0</v>
      </c>
      <c r="C48">
        <v>55.73</v>
      </c>
      <c r="D48">
        <v>56.15</v>
      </c>
      <c r="E48">
        <v>0.42</v>
      </c>
      <c r="F48">
        <v>0</v>
      </c>
      <c r="G48">
        <v>0</v>
      </c>
      <c r="H48">
        <v>98.53270000000002</v>
      </c>
      <c r="I48">
        <v>9853.2700000000023</v>
      </c>
      <c r="L48" t="s">
        <v>69</v>
      </c>
      <c r="M48">
        <v>0</v>
      </c>
      <c r="N48">
        <v>0</v>
      </c>
      <c r="O48">
        <v>56.15</v>
      </c>
      <c r="P48">
        <v>0.42</v>
      </c>
      <c r="Q48">
        <v>55.73</v>
      </c>
      <c r="R48">
        <v>0</v>
      </c>
      <c r="S48" s="1">
        <f t="shared" si="2"/>
        <v>0.9715710000000003</v>
      </c>
      <c r="T48">
        <f t="shared" si="3"/>
        <v>9715.7100000000028</v>
      </c>
    </row>
    <row r="49" spans="1:20" x14ac:dyDescent="0.2">
      <c r="A49" s="2">
        <v>43832.479166666657</v>
      </c>
      <c r="B49">
        <v>0</v>
      </c>
      <c r="C49">
        <v>51.18</v>
      </c>
      <c r="D49">
        <v>51.61</v>
      </c>
      <c r="E49">
        <v>0.43</v>
      </c>
      <c r="F49">
        <v>0</v>
      </c>
      <c r="G49">
        <v>0</v>
      </c>
      <c r="H49">
        <v>99.044500000000028</v>
      </c>
      <c r="I49">
        <v>9904.4500000000025</v>
      </c>
      <c r="L49" t="s">
        <v>70</v>
      </c>
      <c r="M49">
        <v>0</v>
      </c>
      <c r="N49">
        <v>0</v>
      </c>
      <c r="O49">
        <v>51.61</v>
      </c>
      <c r="P49">
        <v>0.43</v>
      </c>
      <c r="Q49">
        <v>51.18</v>
      </c>
      <c r="R49">
        <v>0</v>
      </c>
      <c r="S49" s="1">
        <f t="shared" si="2"/>
        <v>0.9715710000000003</v>
      </c>
      <c r="T49">
        <f t="shared" si="3"/>
        <v>9715.7100000000028</v>
      </c>
    </row>
    <row r="50" spans="1:20" x14ac:dyDescent="0.2">
      <c r="A50" s="2">
        <v>43832.489583333343</v>
      </c>
      <c r="B50">
        <v>0</v>
      </c>
      <c r="C50">
        <v>42.629999999999988</v>
      </c>
      <c r="D50">
        <v>43.589999999999989</v>
      </c>
      <c r="E50">
        <v>0.96000000000000019</v>
      </c>
      <c r="F50">
        <v>0</v>
      </c>
      <c r="G50">
        <v>0</v>
      </c>
      <c r="H50">
        <v>99.470800000000011</v>
      </c>
      <c r="I50">
        <v>9947.0800000000017</v>
      </c>
      <c r="L50" t="s">
        <v>71</v>
      </c>
      <c r="M50">
        <v>0</v>
      </c>
      <c r="N50">
        <v>0</v>
      </c>
      <c r="O50">
        <v>43.589999999999989</v>
      </c>
      <c r="P50">
        <v>0.96000000000000019</v>
      </c>
      <c r="Q50">
        <v>42.629999999999988</v>
      </c>
      <c r="R50">
        <v>0</v>
      </c>
      <c r="S50" s="1">
        <f t="shared" si="2"/>
        <v>0.9715710000000003</v>
      </c>
      <c r="T50">
        <f t="shared" si="3"/>
        <v>9715.7100000000028</v>
      </c>
    </row>
    <row r="51" spans="1:20" x14ac:dyDescent="0.2">
      <c r="A51" s="2">
        <v>43832.5</v>
      </c>
      <c r="B51">
        <v>0</v>
      </c>
      <c r="C51">
        <v>52.919999999998247</v>
      </c>
      <c r="D51">
        <v>69.72</v>
      </c>
      <c r="E51">
        <v>0.23</v>
      </c>
      <c r="F51">
        <v>16.570000000001741</v>
      </c>
      <c r="G51">
        <v>0</v>
      </c>
      <c r="H51">
        <v>100</v>
      </c>
      <c r="I51">
        <v>10000</v>
      </c>
      <c r="L51" t="s">
        <v>72</v>
      </c>
      <c r="M51">
        <v>0</v>
      </c>
      <c r="N51">
        <v>0</v>
      </c>
      <c r="O51">
        <v>69.72</v>
      </c>
      <c r="P51">
        <v>0.23</v>
      </c>
      <c r="Q51">
        <v>69.489999999999995</v>
      </c>
      <c r="R51">
        <v>0</v>
      </c>
      <c r="S51" s="1">
        <f t="shared" si="2"/>
        <v>0.9715710000000003</v>
      </c>
      <c r="T51">
        <f t="shared" si="3"/>
        <v>9715.7100000000028</v>
      </c>
    </row>
    <row r="52" spans="1:20" x14ac:dyDescent="0.2">
      <c r="A52" s="2">
        <v>43832.510416666657</v>
      </c>
      <c r="B52">
        <v>0</v>
      </c>
      <c r="C52">
        <v>0</v>
      </c>
      <c r="D52">
        <v>88.88</v>
      </c>
      <c r="E52">
        <v>0.63000000000000012</v>
      </c>
      <c r="F52">
        <v>88.25</v>
      </c>
      <c r="G52">
        <v>0</v>
      </c>
      <c r="H52">
        <v>100</v>
      </c>
      <c r="I52">
        <v>10000</v>
      </c>
      <c r="L52" t="s">
        <v>73</v>
      </c>
      <c r="M52">
        <v>0</v>
      </c>
      <c r="N52">
        <v>0</v>
      </c>
      <c r="O52">
        <v>88.88</v>
      </c>
      <c r="P52">
        <v>0.63000000000000012</v>
      </c>
      <c r="Q52">
        <v>88.25</v>
      </c>
      <c r="R52">
        <v>0</v>
      </c>
      <c r="S52" s="1">
        <f t="shared" si="2"/>
        <v>0.9715710000000003</v>
      </c>
      <c r="T52">
        <f t="shared" si="3"/>
        <v>9715.7100000000028</v>
      </c>
    </row>
    <row r="53" spans="1:20" x14ac:dyDescent="0.2">
      <c r="A53" s="2">
        <v>43832.520833333343</v>
      </c>
      <c r="B53">
        <v>0</v>
      </c>
      <c r="C53">
        <v>0</v>
      </c>
      <c r="D53">
        <v>95.36999999999999</v>
      </c>
      <c r="E53">
        <v>6.09</v>
      </c>
      <c r="F53">
        <v>89.279999999999987</v>
      </c>
      <c r="G53">
        <v>0</v>
      </c>
      <c r="H53">
        <v>100</v>
      </c>
      <c r="I53">
        <v>10000</v>
      </c>
      <c r="L53" t="s">
        <v>74</v>
      </c>
      <c r="M53">
        <v>0</v>
      </c>
      <c r="N53">
        <v>0</v>
      </c>
      <c r="O53">
        <v>95.36999999999999</v>
      </c>
      <c r="P53">
        <v>6.09</v>
      </c>
      <c r="Q53">
        <v>89.279999999999987</v>
      </c>
      <c r="R53">
        <v>0</v>
      </c>
      <c r="S53" s="1">
        <f t="shared" si="2"/>
        <v>0.9715710000000003</v>
      </c>
      <c r="T53">
        <f t="shared" si="3"/>
        <v>9715.7100000000028</v>
      </c>
    </row>
    <row r="54" spans="1:20" x14ac:dyDescent="0.2">
      <c r="A54" s="2">
        <v>43832.53125</v>
      </c>
      <c r="B54">
        <v>0</v>
      </c>
      <c r="C54">
        <v>0</v>
      </c>
      <c r="D54">
        <v>93.670000000000016</v>
      </c>
      <c r="E54">
        <v>29.31</v>
      </c>
      <c r="F54">
        <v>64.360000000000014</v>
      </c>
      <c r="G54">
        <v>0</v>
      </c>
      <c r="H54">
        <v>100</v>
      </c>
      <c r="I54">
        <v>10000</v>
      </c>
      <c r="L54" t="s">
        <v>75</v>
      </c>
      <c r="M54">
        <v>0</v>
      </c>
      <c r="N54">
        <v>58.13</v>
      </c>
      <c r="O54">
        <v>93.670000000000016</v>
      </c>
      <c r="P54">
        <v>29.31</v>
      </c>
      <c r="Q54">
        <v>6.2300000000000111</v>
      </c>
      <c r="R54">
        <v>0</v>
      </c>
      <c r="S54" s="1">
        <f t="shared" si="2"/>
        <v>0.97738400000000014</v>
      </c>
      <c r="T54">
        <f t="shared" si="3"/>
        <v>9773.840000000002</v>
      </c>
    </row>
    <row r="55" spans="1:20" x14ac:dyDescent="0.2">
      <c r="A55" s="2">
        <v>43832.541666666657</v>
      </c>
      <c r="B55">
        <v>0</v>
      </c>
      <c r="C55">
        <v>0</v>
      </c>
      <c r="D55">
        <v>278.43</v>
      </c>
      <c r="E55">
        <v>12.02</v>
      </c>
      <c r="F55">
        <v>266.41000000000003</v>
      </c>
      <c r="G55">
        <v>0</v>
      </c>
      <c r="H55">
        <v>100</v>
      </c>
      <c r="I55">
        <v>10000</v>
      </c>
      <c r="L55" t="s">
        <v>76</v>
      </c>
      <c r="M55">
        <v>0</v>
      </c>
      <c r="N55">
        <v>66.41</v>
      </c>
      <c r="O55">
        <v>278.43</v>
      </c>
      <c r="P55">
        <v>12.02</v>
      </c>
      <c r="Q55">
        <v>200</v>
      </c>
      <c r="R55">
        <v>0</v>
      </c>
      <c r="S55" s="1">
        <f t="shared" si="2"/>
        <v>0.98402500000000015</v>
      </c>
      <c r="T55">
        <f t="shared" si="3"/>
        <v>9840.2500000000018</v>
      </c>
    </row>
    <row r="56" spans="1:20" x14ac:dyDescent="0.2">
      <c r="A56" s="2">
        <v>43832.552083333343</v>
      </c>
      <c r="B56">
        <v>0</v>
      </c>
      <c r="C56">
        <v>0</v>
      </c>
      <c r="D56">
        <v>69.889999999999986</v>
      </c>
      <c r="E56">
        <v>1.41</v>
      </c>
      <c r="F56">
        <v>68.47999999999999</v>
      </c>
      <c r="G56">
        <v>0</v>
      </c>
      <c r="H56">
        <v>100</v>
      </c>
      <c r="I56">
        <v>10000</v>
      </c>
      <c r="L56" t="s">
        <v>77</v>
      </c>
      <c r="M56">
        <v>0</v>
      </c>
      <c r="N56">
        <v>0</v>
      </c>
      <c r="O56">
        <v>69.889999999999986</v>
      </c>
      <c r="P56">
        <v>1.41</v>
      </c>
      <c r="Q56">
        <v>68.47999999999999</v>
      </c>
      <c r="R56">
        <v>0</v>
      </c>
      <c r="S56" s="1">
        <f t="shared" si="2"/>
        <v>0.98402500000000015</v>
      </c>
      <c r="T56">
        <f t="shared" si="3"/>
        <v>9840.2500000000018</v>
      </c>
    </row>
    <row r="57" spans="1:20" x14ac:dyDescent="0.2">
      <c r="A57" s="2">
        <v>43832.5625</v>
      </c>
      <c r="B57">
        <v>0</v>
      </c>
      <c r="C57">
        <v>0</v>
      </c>
      <c r="D57">
        <v>119.23</v>
      </c>
      <c r="E57">
        <v>0.86000000000000021</v>
      </c>
      <c r="F57">
        <v>118.37</v>
      </c>
      <c r="G57">
        <v>0</v>
      </c>
      <c r="H57">
        <v>100</v>
      </c>
      <c r="I57">
        <v>10000</v>
      </c>
      <c r="L57" t="s">
        <v>78</v>
      </c>
      <c r="M57">
        <v>0</v>
      </c>
      <c r="N57">
        <v>0</v>
      </c>
      <c r="O57">
        <v>119.23</v>
      </c>
      <c r="P57">
        <v>0.86000000000000021</v>
      </c>
      <c r="Q57">
        <v>118.37</v>
      </c>
      <c r="R57">
        <v>0</v>
      </c>
      <c r="S57" s="1">
        <f t="shared" si="2"/>
        <v>0.98402500000000015</v>
      </c>
      <c r="T57">
        <f t="shared" si="3"/>
        <v>9840.2500000000018</v>
      </c>
    </row>
    <row r="58" spans="1:20" x14ac:dyDescent="0.2">
      <c r="A58" s="2">
        <v>43832.572916666657</v>
      </c>
      <c r="B58">
        <v>0</v>
      </c>
      <c r="C58">
        <v>0</v>
      </c>
      <c r="D58">
        <v>354</v>
      </c>
      <c r="E58">
        <v>1.72</v>
      </c>
      <c r="F58">
        <v>352.28</v>
      </c>
      <c r="G58">
        <v>0</v>
      </c>
      <c r="H58">
        <v>100</v>
      </c>
      <c r="I58">
        <v>10000</v>
      </c>
      <c r="L58" t="s">
        <v>79</v>
      </c>
      <c r="M58">
        <v>0</v>
      </c>
      <c r="N58">
        <v>0</v>
      </c>
      <c r="O58">
        <v>116.61</v>
      </c>
      <c r="P58">
        <v>1.72</v>
      </c>
      <c r="Q58">
        <v>114.89</v>
      </c>
      <c r="R58">
        <v>0</v>
      </c>
      <c r="S58" s="1">
        <f t="shared" si="2"/>
        <v>0.98402500000000015</v>
      </c>
      <c r="T58">
        <f t="shared" si="3"/>
        <v>9840.2500000000018</v>
      </c>
    </row>
    <row r="59" spans="1:20" x14ac:dyDescent="0.2">
      <c r="A59" s="2">
        <v>43832.583333333343</v>
      </c>
      <c r="B59">
        <v>0</v>
      </c>
      <c r="C59">
        <v>0</v>
      </c>
      <c r="D59">
        <v>462</v>
      </c>
      <c r="E59">
        <v>2.4900000000000002</v>
      </c>
      <c r="F59">
        <v>459.51</v>
      </c>
      <c r="G59">
        <v>0</v>
      </c>
      <c r="H59">
        <v>100</v>
      </c>
      <c r="I59">
        <v>10000</v>
      </c>
      <c r="L59" t="s">
        <v>80</v>
      </c>
      <c r="M59">
        <v>0</v>
      </c>
      <c r="N59">
        <v>0</v>
      </c>
      <c r="O59">
        <v>162.38999999999999</v>
      </c>
      <c r="P59">
        <v>2.4900000000000002</v>
      </c>
      <c r="Q59">
        <v>159.9</v>
      </c>
      <c r="R59">
        <v>0</v>
      </c>
      <c r="S59" s="1">
        <f t="shared" si="2"/>
        <v>0.98402500000000015</v>
      </c>
      <c r="T59">
        <f t="shared" si="3"/>
        <v>9840.2500000000018</v>
      </c>
    </row>
    <row r="60" spans="1:20" x14ac:dyDescent="0.2">
      <c r="A60" s="2">
        <v>43832.59375</v>
      </c>
      <c r="B60">
        <v>0</v>
      </c>
      <c r="C60">
        <v>0</v>
      </c>
      <c r="D60">
        <v>122.06</v>
      </c>
      <c r="E60">
        <v>1.8</v>
      </c>
      <c r="F60">
        <v>120.26</v>
      </c>
      <c r="G60">
        <v>0</v>
      </c>
      <c r="H60">
        <v>100</v>
      </c>
      <c r="I60">
        <v>10000</v>
      </c>
      <c r="L60" t="s">
        <v>81</v>
      </c>
      <c r="M60">
        <v>0</v>
      </c>
      <c r="N60">
        <v>120.26</v>
      </c>
      <c r="O60">
        <v>122.06</v>
      </c>
      <c r="P60">
        <v>1.8</v>
      </c>
      <c r="Q60">
        <v>0</v>
      </c>
      <c r="R60">
        <v>0</v>
      </c>
      <c r="S60" s="1">
        <f t="shared" si="2"/>
        <v>0.99605100000000024</v>
      </c>
      <c r="T60">
        <f t="shared" si="3"/>
        <v>9960.510000000002</v>
      </c>
    </row>
    <row r="61" spans="1:20" x14ac:dyDescent="0.2">
      <c r="A61" s="2">
        <v>43832.604166666657</v>
      </c>
      <c r="B61">
        <v>0</v>
      </c>
      <c r="C61">
        <v>0</v>
      </c>
      <c r="D61">
        <v>111.49</v>
      </c>
      <c r="E61">
        <v>1.82</v>
      </c>
      <c r="F61">
        <v>109.67</v>
      </c>
      <c r="G61">
        <v>0</v>
      </c>
      <c r="H61">
        <v>100</v>
      </c>
      <c r="I61">
        <v>10000</v>
      </c>
      <c r="L61" t="s">
        <v>82</v>
      </c>
      <c r="M61">
        <v>0</v>
      </c>
      <c r="N61">
        <v>0</v>
      </c>
      <c r="O61">
        <v>111.49</v>
      </c>
      <c r="P61">
        <v>1.82</v>
      </c>
      <c r="Q61">
        <v>109.67</v>
      </c>
      <c r="R61">
        <v>0</v>
      </c>
      <c r="S61" s="1">
        <f t="shared" si="2"/>
        <v>0.99605100000000024</v>
      </c>
      <c r="T61">
        <f t="shared" si="3"/>
        <v>9960.510000000002</v>
      </c>
    </row>
    <row r="62" spans="1:20" x14ac:dyDescent="0.2">
      <c r="A62" s="2">
        <v>43832.614583333343</v>
      </c>
      <c r="B62">
        <v>0</v>
      </c>
      <c r="C62">
        <v>0</v>
      </c>
      <c r="D62">
        <v>434.1</v>
      </c>
      <c r="E62">
        <v>1.96</v>
      </c>
      <c r="F62">
        <v>432.14</v>
      </c>
      <c r="G62">
        <v>0</v>
      </c>
      <c r="H62">
        <v>100</v>
      </c>
      <c r="I62">
        <v>10000</v>
      </c>
      <c r="L62" t="s">
        <v>83</v>
      </c>
      <c r="M62">
        <v>0</v>
      </c>
      <c r="N62">
        <v>0</v>
      </c>
      <c r="O62">
        <v>434.1</v>
      </c>
      <c r="P62">
        <v>1.96</v>
      </c>
      <c r="Q62">
        <v>432.14</v>
      </c>
      <c r="R62">
        <v>0</v>
      </c>
      <c r="S62" s="1">
        <f t="shared" si="2"/>
        <v>0.99605100000000024</v>
      </c>
      <c r="T62">
        <f t="shared" si="3"/>
        <v>9960.510000000002</v>
      </c>
    </row>
    <row r="63" spans="1:20" x14ac:dyDescent="0.2">
      <c r="A63" s="2">
        <v>43832.625</v>
      </c>
      <c r="B63">
        <v>0</v>
      </c>
      <c r="C63">
        <v>0</v>
      </c>
      <c r="D63">
        <v>77.099999999999994</v>
      </c>
      <c r="E63">
        <v>1.34</v>
      </c>
      <c r="F63">
        <v>75.759999999999991</v>
      </c>
      <c r="G63">
        <v>0</v>
      </c>
      <c r="H63">
        <v>100</v>
      </c>
      <c r="I63">
        <v>10000</v>
      </c>
      <c r="L63" t="s">
        <v>84</v>
      </c>
      <c r="M63">
        <v>0</v>
      </c>
      <c r="N63">
        <v>0</v>
      </c>
      <c r="O63">
        <v>77.099999999999994</v>
      </c>
      <c r="P63">
        <v>1.34</v>
      </c>
      <c r="Q63">
        <v>75.759999999999991</v>
      </c>
      <c r="R63">
        <v>0</v>
      </c>
      <c r="S63" s="1">
        <f t="shared" si="2"/>
        <v>0.99605100000000024</v>
      </c>
      <c r="T63">
        <f t="shared" si="3"/>
        <v>9960.510000000002</v>
      </c>
    </row>
    <row r="64" spans="1:20" x14ac:dyDescent="0.2">
      <c r="A64" s="2">
        <v>43832.635416666657</v>
      </c>
      <c r="B64">
        <v>0</v>
      </c>
      <c r="C64">
        <v>0</v>
      </c>
      <c r="D64">
        <v>411.36</v>
      </c>
      <c r="E64">
        <v>1.87</v>
      </c>
      <c r="F64">
        <v>409.49</v>
      </c>
      <c r="G64">
        <v>0</v>
      </c>
      <c r="H64">
        <v>100</v>
      </c>
      <c r="I64">
        <v>10000</v>
      </c>
      <c r="L64" t="s">
        <v>85</v>
      </c>
      <c r="M64">
        <v>0</v>
      </c>
      <c r="N64">
        <v>39.49</v>
      </c>
      <c r="O64">
        <v>411.36</v>
      </c>
      <c r="P64">
        <v>1.87</v>
      </c>
      <c r="Q64">
        <v>370</v>
      </c>
      <c r="R64">
        <v>0</v>
      </c>
      <c r="S64" s="1">
        <f t="shared" si="2"/>
        <v>1.0000000000000002</v>
      </c>
      <c r="T64">
        <f t="shared" si="3"/>
        <v>10000.000000000002</v>
      </c>
    </row>
    <row r="65" spans="1:20" x14ac:dyDescent="0.2">
      <c r="A65" s="2">
        <v>43832.645833333343</v>
      </c>
      <c r="B65">
        <v>1.039999999999992</v>
      </c>
      <c r="C65">
        <v>0</v>
      </c>
      <c r="D65">
        <v>20.490000000000009</v>
      </c>
      <c r="E65">
        <v>21.53</v>
      </c>
      <c r="F65">
        <v>0</v>
      </c>
      <c r="G65">
        <v>0</v>
      </c>
      <c r="H65">
        <v>99.989599999999996</v>
      </c>
      <c r="I65">
        <v>9998.9599999999991</v>
      </c>
      <c r="L65" t="s">
        <v>86</v>
      </c>
      <c r="M65">
        <v>1.04</v>
      </c>
      <c r="N65">
        <v>0</v>
      </c>
      <c r="O65">
        <v>20.490000000000009</v>
      </c>
      <c r="P65">
        <v>21.53</v>
      </c>
      <c r="Q65">
        <v>0</v>
      </c>
      <c r="R65">
        <v>0</v>
      </c>
      <c r="S65" s="1">
        <f t="shared" si="2"/>
        <v>0.99989600000000012</v>
      </c>
      <c r="T65">
        <f t="shared" si="3"/>
        <v>9998.9600000000009</v>
      </c>
    </row>
    <row r="66" spans="1:20" x14ac:dyDescent="0.2">
      <c r="A66" s="2">
        <v>43832.65625</v>
      </c>
      <c r="B66">
        <v>12.769999999999991</v>
      </c>
      <c r="C66">
        <v>0</v>
      </c>
      <c r="D66">
        <v>14.67</v>
      </c>
      <c r="E66">
        <v>27.439999999999991</v>
      </c>
      <c r="F66">
        <v>0</v>
      </c>
      <c r="G66">
        <v>0</v>
      </c>
      <c r="H66">
        <v>99.861899999999991</v>
      </c>
      <c r="I66">
        <v>9986.1899999999987</v>
      </c>
      <c r="L66" t="s">
        <v>87</v>
      </c>
      <c r="M66">
        <v>12.77</v>
      </c>
      <c r="N66">
        <v>0</v>
      </c>
      <c r="O66">
        <v>14.67</v>
      </c>
      <c r="P66">
        <v>27.439999999999991</v>
      </c>
      <c r="Q66">
        <v>0</v>
      </c>
      <c r="R66">
        <v>0</v>
      </c>
      <c r="S66" s="1">
        <f t="shared" si="2"/>
        <v>0.99861900000000003</v>
      </c>
      <c r="T66">
        <f t="shared" si="3"/>
        <v>9986.19</v>
      </c>
    </row>
    <row r="67" spans="1:20" x14ac:dyDescent="0.2">
      <c r="A67" s="2">
        <v>43832.666666666657</v>
      </c>
      <c r="B67">
        <v>0</v>
      </c>
      <c r="C67">
        <v>6.7199999999999971</v>
      </c>
      <c r="D67">
        <v>9.5299999999999976</v>
      </c>
      <c r="E67">
        <v>2.81</v>
      </c>
      <c r="F67">
        <v>0</v>
      </c>
      <c r="G67">
        <v>0</v>
      </c>
      <c r="H67">
        <v>99.929099999999977</v>
      </c>
      <c r="I67">
        <v>9992.909999999998</v>
      </c>
      <c r="L67" t="s">
        <v>88</v>
      </c>
      <c r="M67">
        <v>0</v>
      </c>
      <c r="N67">
        <v>6.72</v>
      </c>
      <c r="O67">
        <v>9.5299999999999976</v>
      </c>
      <c r="P67">
        <v>2.81</v>
      </c>
      <c r="Q67">
        <v>0</v>
      </c>
      <c r="R67">
        <v>0</v>
      </c>
      <c r="S67" s="1">
        <f t="shared" ref="S67:S98" si="4">T67/V$1</f>
        <v>0.99929100000000004</v>
      </c>
      <c r="T67">
        <f t="shared" si="3"/>
        <v>9992.91</v>
      </c>
    </row>
    <row r="68" spans="1:20" x14ac:dyDescent="0.2">
      <c r="A68" s="2">
        <v>43832.677083333343</v>
      </c>
      <c r="B68">
        <v>0</v>
      </c>
      <c r="C68">
        <v>0.51</v>
      </c>
      <c r="D68">
        <v>1.92</v>
      </c>
      <c r="E68">
        <v>1.41</v>
      </c>
      <c r="F68">
        <v>0</v>
      </c>
      <c r="G68">
        <v>0</v>
      </c>
      <c r="H68">
        <v>99.93419999999999</v>
      </c>
      <c r="I68">
        <v>9993.4199999999983</v>
      </c>
      <c r="L68" t="s">
        <v>89</v>
      </c>
      <c r="M68">
        <v>0</v>
      </c>
      <c r="N68">
        <v>0.51</v>
      </c>
      <c r="O68">
        <v>1.92</v>
      </c>
      <c r="P68">
        <v>1.41</v>
      </c>
      <c r="Q68">
        <v>0</v>
      </c>
      <c r="R68">
        <v>0</v>
      </c>
      <c r="S68" s="1">
        <f t="shared" si="4"/>
        <v>0.99934199999999995</v>
      </c>
      <c r="T68">
        <f t="shared" ref="T68:T99" si="5">T67-M68+N68</f>
        <v>9993.42</v>
      </c>
    </row>
    <row r="69" spans="1:20" x14ac:dyDescent="0.2">
      <c r="A69" s="2">
        <v>43832.6875</v>
      </c>
      <c r="B69">
        <v>5.4200000000000008</v>
      </c>
      <c r="C69">
        <v>0</v>
      </c>
      <c r="D69">
        <v>0.06</v>
      </c>
      <c r="E69">
        <v>5.48</v>
      </c>
      <c r="F69">
        <v>0</v>
      </c>
      <c r="G69">
        <v>0</v>
      </c>
      <c r="H69">
        <v>99.879999999999981</v>
      </c>
      <c r="I69">
        <v>9987.9999999999982</v>
      </c>
      <c r="L69" t="s">
        <v>90</v>
      </c>
      <c r="M69">
        <v>5.42</v>
      </c>
      <c r="N69">
        <v>0</v>
      </c>
      <c r="O69">
        <v>0.06</v>
      </c>
      <c r="P69">
        <v>5.48</v>
      </c>
      <c r="Q69">
        <v>0</v>
      </c>
      <c r="R69">
        <v>0</v>
      </c>
      <c r="S69" s="1">
        <f t="shared" si="4"/>
        <v>0.99880000000000002</v>
      </c>
      <c r="T69">
        <f t="shared" si="5"/>
        <v>9988</v>
      </c>
    </row>
    <row r="70" spans="1:20" x14ac:dyDescent="0.2">
      <c r="A70" s="2">
        <v>43832.697916666657</v>
      </c>
      <c r="B70">
        <v>1.61</v>
      </c>
      <c r="C70">
        <v>0</v>
      </c>
      <c r="D70">
        <v>0</v>
      </c>
      <c r="E70">
        <v>1.61</v>
      </c>
      <c r="F70">
        <v>0</v>
      </c>
      <c r="G70">
        <v>0</v>
      </c>
      <c r="H70">
        <v>99.863899999999973</v>
      </c>
      <c r="I70">
        <v>9986.3899999999976</v>
      </c>
      <c r="L70" t="s">
        <v>91</v>
      </c>
      <c r="M70">
        <v>1.61</v>
      </c>
      <c r="N70">
        <v>0</v>
      </c>
      <c r="O70">
        <v>0</v>
      </c>
      <c r="P70">
        <v>1.61</v>
      </c>
      <c r="Q70">
        <v>0</v>
      </c>
      <c r="R70">
        <v>0</v>
      </c>
      <c r="S70" s="1">
        <f t="shared" si="4"/>
        <v>0.99863899999999994</v>
      </c>
      <c r="T70">
        <f t="shared" si="5"/>
        <v>9986.39</v>
      </c>
    </row>
    <row r="71" spans="1:20" x14ac:dyDescent="0.2">
      <c r="A71" s="2">
        <v>43832.708333333343</v>
      </c>
      <c r="B71">
        <v>0.45000000000000012</v>
      </c>
      <c r="C71">
        <v>0</v>
      </c>
      <c r="D71">
        <v>0</v>
      </c>
      <c r="E71">
        <v>0.45000000000000012</v>
      </c>
      <c r="F71">
        <v>0</v>
      </c>
      <c r="G71">
        <v>0</v>
      </c>
      <c r="H71">
        <v>99.859399999999965</v>
      </c>
      <c r="I71">
        <v>9985.9399999999969</v>
      </c>
      <c r="L71" t="s">
        <v>92</v>
      </c>
      <c r="M71">
        <v>0.45</v>
      </c>
      <c r="N71">
        <v>0</v>
      </c>
      <c r="O71">
        <v>0</v>
      </c>
      <c r="P71">
        <v>0.45000000000000012</v>
      </c>
      <c r="Q71">
        <v>0</v>
      </c>
      <c r="R71">
        <v>0</v>
      </c>
      <c r="S71" s="1">
        <f t="shared" si="4"/>
        <v>0.99859399999999987</v>
      </c>
      <c r="T71">
        <f t="shared" si="5"/>
        <v>9985.9399999999987</v>
      </c>
    </row>
    <row r="72" spans="1:20" x14ac:dyDescent="0.2">
      <c r="A72" s="2">
        <v>43832.71875</v>
      </c>
      <c r="B72">
        <v>2.59</v>
      </c>
      <c r="C72">
        <v>0</v>
      </c>
      <c r="D72">
        <v>0</v>
      </c>
      <c r="E72">
        <v>2.59</v>
      </c>
      <c r="F72">
        <v>0</v>
      </c>
      <c r="G72">
        <v>0</v>
      </c>
      <c r="H72">
        <v>99.833499999999958</v>
      </c>
      <c r="I72">
        <v>9983.3499999999967</v>
      </c>
      <c r="L72" t="s">
        <v>93</v>
      </c>
      <c r="M72">
        <v>2.59</v>
      </c>
      <c r="N72">
        <v>0</v>
      </c>
      <c r="O72">
        <v>0</v>
      </c>
      <c r="P72">
        <v>2.59</v>
      </c>
      <c r="Q72">
        <v>0</v>
      </c>
      <c r="R72">
        <v>0</v>
      </c>
      <c r="S72" s="1">
        <f t="shared" si="4"/>
        <v>0.99833499999999986</v>
      </c>
      <c r="T72">
        <f t="shared" si="5"/>
        <v>9983.3499999999985</v>
      </c>
    </row>
    <row r="73" spans="1:20" x14ac:dyDescent="0.2">
      <c r="A73" s="2">
        <v>43832.729166666657</v>
      </c>
      <c r="B73">
        <v>4.3099999999999996</v>
      </c>
      <c r="C73">
        <v>0</v>
      </c>
      <c r="D73">
        <v>0</v>
      </c>
      <c r="E73">
        <v>4.3099999999999996</v>
      </c>
      <c r="F73">
        <v>0</v>
      </c>
      <c r="G73">
        <v>0</v>
      </c>
      <c r="H73">
        <v>99.790399999999963</v>
      </c>
      <c r="I73">
        <v>9979.0399999999972</v>
      </c>
      <c r="L73" t="s">
        <v>94</v>
      </c>
      <c r="M73">
        <v>4.3099999999999996</v>
      </c>
      <c r="N73">
        <v>0</v>
      </c>
      <c r="O73">
        <v>0</v>
      </c>
      <c r="P73">
        <v>4.3099999999999996</v>
      </c>
      <c r="Q73">
        <v>0</v>
      </c>
      <c r="R73">
        <v>0</v>
      </c>
      <c r="S73" s="1">
        <f t="shared" si="4"/>
        <v>0.9979039999999999</v>
      </c>
      <c r="T73">
        <f t="shared" si="5"/>
        <v>9979.0399999999991</v>
      </c>
    </row>
    <row r="74" spans="1:20" x14ac:dyDescent="0.2">
      <c r="A74" s="2">
        <v>43832.739583333343</v>
      </c>
      <c r="B74">
        <v>4.5199999999999996</v>
      </c>
      <c r="C74">
        <v>0</v>
      </c>
      <c r="D74">
        <v>0</v>
      </c>
      <c r="E74">
        <v>4.5199999999999996</v>
      </c>
      <c r="F74">
        <v>0</v>
      </c>
      <c r="G74">
        <v>0</v>
      </c>
      <c r="H74">
        <v>99.745199999999969</v>
      </c>
      <c r="I74">
        <v>9974.5199999999968</v>
      </c>
      <c r="L74" t="s">
        <v>95</v>
      </c>
      <c r="M74">
        <v>4.5199999999999996</v>
      </c>
      <c r="N74">
        <v>0</v>
      </c>
      <c r="O74">
        <v>0</v>
      </c>
      <c r="P74">
        <v>4.5199999999999996</v>
      </c>
      <c r="Q74">
        <v>0</v>
      </c>
      <c r="R74">
        <v>0</v>
      </c>
      <c r="S74" s="1">
        <f t="shared" si="4"/>
        <v>0.99745199999999989</v>
      </c>
      <c r="T74">
        <f t="shared" si="5"/>
        <v>9974.5199999999986</v>
      </c>
    </row>
    <row r="75" spans="1:20" x14ac:dyDescent="0.2">
      <c r="A75" s="2">
        <v>43832.75</v>
      </c>
      <c r="B75">
        <v>4.0299999999999994</v>
      </c>
      <c r="C75">
        <v>0</v>
      </c>
      <c r="D75">
        <v>0</v>
      </c>
      <c r="E75">
        <v>4.0299999999999994</v>
      </c>
      <c r="F75">
        <v>0</v>
      </c>
      <c r="G75">
        <v>0</v>
      </c>
      <c r="H75">
        <v>99.704899999999967</v>
      </c>
      <c r="I75">
        <v>9970.4899999999961</v>
      </c>
      <c r="L75" t="s">
        <v>96</v>
      </c>
      <c r="M75">
        <v>4.03</v>
      </c>
      <c r="N75">
        <v>0</v>
      </c>
      <c r="O75">
        <v>0</v>
      </c>
      <c r="P75">
        <v>4.0299999999999994</v>
      </c>
      <c r="Q75">
        <v>0</v>
      </c>
      <c r="R75">
        <v>0</v>
      </c>
      <c r="S75" s="1">
        <f t="shared" si="4"/>
        <v>0.99704899999999974</v>
      </c>
      <c r="T75">
        <f t="shared" si="5"/>
        <v>9970.489999999998</v>
      </c>
    </row>
    <row r="76" spans="1:20" x14ac:dyDescent="0.2">
      <c r="A76" s="2">
        <v>43832.760416666657</v>
      </c>
      <c r="B76">
        <v>8.4599999999999991</v>
      </c>
      <c r="C76">
        <v>0</v>
      </c>
      <c r="D76">
        <v>0</v>
      </c>
      <c r="E76">
        <v>8.4599999999999991</v>
      </c>
      <c r="F76">
        <v>0</v>
      </c>
      <c r="G76">
        <v>0</v>
      </c>
      <c r="H76">
        <v>99.620299999999972</v>
      </c>
      <c r="I76">
        <v>9962.029999999997</v>
      </c>
      <c r="L76" t="s">
        <v>97</v>
      </c>
      <c r="M76">
        <v>8.4600000000000009</v>
      </c>
      <c r="N76">
        <v>0</v>
      </c>
      <c r="O76">
        <v>0</v>
      </c>
      <c r="P76">
        <v>8.4599999999999991</v>
      </c>
      <c r="Q76">
        <v>0</v>
      </c>
      <c r="R76">
        <v>0</v>
      </c>
      <c r="S76" s="1">
        <f t="shared" si="4"/>
        <v>0.99620299999999984</v>
      </c>
      <c r="T76">
        <f t="shared" si="5"/>
        <v>9962.0299999999988</v>
      </c>
    </row>
    <row r="77" spans="1:20" x14ac:dyDescent="0.2">
      <c r="A77" s="2">
        <v>43832.770833333343</v>
      </c>
      <c r="B77">
        <v>29.68</v>
      </c>
      <c r="C77">
        <v>0</v>
      </c>
      <c r="D77">
        <v>0</v>
      </c>
      <c r="E77">
        <v>29.68</v>
      </c>
      <c r="F77">
        <v>0</v>
      </c>
      <c r="G77">
        <v>0</v>
      </c>
      <c r="H77">
        <v>99.323499999999967</v>
      </c>
      <c r="I77">
        <v>9932.3499999999967</v>
      </c>
      <c r="L77" t="s">
        <v>98</v>
      </c>
      <c r="M77">
        <v>29.68</v>
      </c>
      <c r="N77">
        <v>0</v>
      </c>
      <c r="O77">
        <v>0</v>
      </c>
      <c r="P77">
        <v>29.68</v>
      </c>
      <c r="Q77">
        <v>0</v>
      </c>
      <c r="R77">
        <v>0</v>
      </c>
      <c r="S77" s="1">
        <f t="shared" si="4"/>
        <v>0.99323499999999987</v>
      </c>
      <c r="T77">
        <f t="shared" si="5"/>
        <v>9932.3499999999985</v>
      </c>
    </row>
    <row r="78" spans="1:20" x14ac:dyDescent="0.2">
      <c r="A78" s="2">
        <v>43832.78125</v>
      </c>
      <c r="B78">
        <v>13.42</v>
      </c>
      <c r="C78">
        <v>0</v>
      </c>
      <c r="D78">
        <v>0</v>
      </c>
      <c r="E78">
        <v>13.42</v>
      </c>
      <c r="F78">
        <v>0</v>
      </c>
      <c r="G78">
        <v>0</v>
      </c>
      <c r="H78">
        <v>99.189299999999974</v>
      </c>
      <c r="I78">
        <v>9918.9299999999967</v>
      </c>
      <c r="L78" t="s">
        <v>99</v>
      </c>
      <c r="M78">
        <v>13.42</v>
      </c>
      <c r="N78">
        <v>0</v>
      </c>
      <c r="O78">
        <v>0</v>
      </c>
      <c r="P78">
        <v>13.42</v>
      </c>
      <c r="Q78">
        <v>0</v>
      </c>
      <c r="R78">
        <v>0</v>
      </c>
      <c r="S78" s="1">
        <f t="shared" si="4"/>
        <v>0.9918929999999998</v>
      </c>
      <c r="T78">
        <f t="shared" si="5"/>
        <v>9918.9299999999985</v>
      </c>
    </row>
    <row r="79" spans="1:20" x14ac:dyDescent="0.2">
      <c r="A79" s="2">
        <v>43832.791666666657</v>
      </c>
      <c r="B79">
        <v>4.12</v>
      </c>
      <c r="C79">
        <v>0</v>
      </c>
      <c r="D79">
        <v>0</v>
      </c>
      <c r="E79">
        <v>4.12</v>
      </c>
      <c r="F79">
        <v>0</v>
      </c>
      <c r="G79">
        <v>0</v>
      </c>
      <c r="H79">
        <v>99.148099999999957</v>
      </c>
      <c r="I79">
        <v>9914.8099999999959</v>
      </c>
      <c r="L79" t="s">
        <v>100</v>
      </c>
      <c r="M79">
        <v>4.12</v>
      </c>
      <c r="N79">
        <v>0</v>
      </c>
      <c r="O79">
        <v>0</v>
      </c>
      <c r="P79">
        <v>4.12</v>
      </c>
      <c r="Q79">
        <v>0</v>
      </c>
      <c r="R79">
        <v>0</v>
      </c>
      <c r="S79" s="1">
        <f t="shared" si="4"/>
        <v>0.99148099999999972</v>
      </c>
      <c r="T79">
        <f t="shared" si="5"/>
        <v>9914.8099999999977</v>
      </c>
    </row>
    <row r="80" spans="1:20" x14ac:dyDescent="0.2">
      <c r="A80" s="2">
        <v>43832.802083333343</v>
      </c>
      <c r="B80">
        <v>4.2200000000000006</v>
      </c>
      <c r="C80">
        <v>0</v>
      </c>
      <c r="D80">
        <v>0</v>
      </c>
      <c r="E80">
        <v>4.2200000000000006</v>
      </c>
      <c r="F80">
        <v>0</v>
      </c>
      <c r="G80">
        <v>0</v>
      </c>
      <c r="H80">
        <v>99.105899999999963</v>
      </c>
      <c r="I80">
        <v>9910.5899999999965</v>
      </c>
      <c r="L80" t="s">
        <v>101</v>
      </c>
      <c r="M80">
        <v>4.22</v>
      </c>
      <c r="N80">
        <v>0</v>
      </c>
      <c r="O80">
        <v>0</v>
      </c>
      <c r="P80">
        <v>4.2200000000000006</v>
      </c>
      <c r="Q80">
        <v>0</v>
      </c>
      <c r="R80">
        <v>0</v>
      </c>
      <c r="S80" s="1">
        <f t="shared" si="4"/>
        <v>0.9910589999999998</v>
      </c>
      <c r="T80">
        <f t="shared" si="5"/>
        <v>9910.5899999999983</v>
      </c>
    </row>
    <row r="81" spans="1:20" x14ac:dyDescent="0.2">
      <c r="A81" s="2">
        <v>43832.8125</v>
      </c>
      <c r="B81">
        <v>4.49</v>
      </c>
      <c r="C81">
        <v>0</v>
      </c>
      <c r="D81">
        <v>0</v>
      </c>
      <c r="E81">
        <v>4.49</v>
      </c>
      <c r="F81">
        <v>0</v>
      </c>
      <c r="G81">
        <v>0</v>
      </c>
      <c r="H81">
        <v>99.060999999999964</v>
      </c>
      <c r="I81">
        <v>9906.0999999999967</v>
      </c>
      <c r="L81" t="s">
        <v>102</v>
      </c>
      <c r="M81">
        <v>4.49</v>
      </c>
      <c r="N81">
        <v>0</v>
      </c>
      <c r="O81">
        <v>0</v>
      </c>
      <c r="P81">
        <v>4.49</v>
      </c>
      <c r="Q81">
        <v>0</v>
      </c>
      <c r="R81">
        <v>0</v>
      </c>
      <c r="S81" s="1">
        <f t="shared" si="4"/>
        <v>0.99060999999999988</v>
      </c>
      <c r="T81">
        <f t="shared" si="5"/>
        <v>9906.0999999999985</v>
      </c>
    </row>
    <row r="82" spans="1:20" x14ac:dyDescent="0.2">
      <c r="A82" s="2">
        <v>43832.822916666657</v>
      </c>
      <c r="B82">
        <v>4.2899999999999991</v>
      </c>
      <c r="C82">
        <v>0</v>
      </c>
      <c r="D82">
        <v>0</v>
      </c>
      <c r="E82">
        <v>4.2899999999999991</v>
      </c>
      <c r="F82">
        <v>0</v>
      </c>
      <c r="G82">
        <v>0</v>
      </c>
      <c r="H82">
        <v>99.018099999999947</v>
      </c>
      <c r="I82">
        <v>9901.8099999999959</v>
      </c>
      <c r="L82" t="s">
        <v>103</v>
      </c>
      <c r="M82">
        <v>4.29</v>
      </c>
      <c r="N82">
        <v>0</v>
      </c>
      <c r="O82">
        <v>0</v>
      </c>
      <c r="P82">
        <v>4.2899999999999991</v>
      </c>
      <c r="Q82">
        <v>0</v>
      </c>
      <c r="R82">
        <v>0</v>
      </c>
      <c r="S82" s="1">
        <f t="shared" si="4"/>
        <v>0.99018099999999976</v>
      </c>
      <c r="T82">
        <f t="shared" si="5"/>
        <v>9901.8099999999977</v>
      </c>
    </row>
    <row r="83" spans="1:20" x14ac:dyDescent="0.2">
      <c r="A83" s="2">
        <v>43832.833333333343</v>
      </c>
      <c r="B83">
        <v>4.08</v>
      </c>
      <c r="C83">
        <v>0</v>
      </c>
      <c r="D83">
        <v>0</v>
      </c>
      <c r="E83">
        <v>4.08</v>
      </c>
      <c r="F83">
        <v>0</v>
      </c>
      <c r="G83">
        <v>0</v>
      </c>
      <c r="H83">
        <v>98.977299999999957</v>
      </c>
      <c r="I83">
        <v>9897.7299999999959</v>
      </c>
      <c r="L83" t="s">
        <v>104</v>
      </c>
      <c r="M83">
        <v>4.08</v>
      </c>
      <c r="N83">
        <v>0</v>
      </c>
      <c r="O83">
        <v>0</v>
      </c>
      <c r="P83">
        <v>4.08</v>
      </c>
      <c r="Q83">
        <v>0</v>
      </c>
      <c r="R83">
        <v>0</v>
      </c>
      <c r="S83" s="1">
        <f t="shared" si="4"/>
        <v>0.98977299999999979</v>
      </c>
      <c r="T83">
        <f t="shared" si="5"/>
        <v>9897.7299999999977</v>
      </c>
    </row>
    <row r="84" spans="1:20" x14ac:dyDescent="0.2">
      <c r="A84" s="2">
        <v>43832.84375</v>
      </c>
      <c r="B84">
        <v>4.08</v>
      </c>
      <c r="C84">
        <v>0</v>
      </c>
      <c r="D84">
        <v>0</v>
      </c>
      <c r="E84">
        <v>4.08</v>
      </c>
      <c r="F84">
        <v>0</v>
      </c>
      <c r="G84">
        <v>0</v>
      </c>
      <c r="H84">
        <v>98.936499999999967</v>
      </c>
      <c r="I84">
        <v>9893.649999999996</v>
      </c>
      <c r="L84" t="s">
        <v>105</v>
      </c>
      <c r="M84">
        <v>4.08</v>
      </c>
      <c r="N84">
        <v>0</v>
      </c>
      <c r="O84">
        <v>0</v>
      </c>
      <c r="P84">
        <v>4.08</v>
      </c>
      <c r="Q84">
        <v>0</v>
      </c>
      <c r="R84">
        <v>0</v>
      </c>
      <c r="S84" s="1">
        <f t="shared" si="4"/>
        <v>0.98936499999999983</v>
      </c>
      <c r="T84">
        <f t="shared" si="5"/>
        <v>9893.6499999999978</v>
      </c>
    </row>
    <row r="85" spans="1:20" x14ac:dyDescent="0.2">
      <c r="A85" s="2">
        <v>43832.854166666657</v>
      </c>
      <c r="B85">
        <v>4.3999999999999986</v>
      </c>
      <c r="C85">
        <v>0</v>
      </c>
      <c r="D85">
        <v>0</v>
      </c>
      <c r="E85">
        <v>4.3999999999999986</v>
      </c>
      <c r="F85">
        <v>0</v>
      </c>
      <c r="G85">
        <v>0</v>
      </c>
      <c r="H85">
        <v>98.892499999999956</v>
      </c>
      <c r="I85">
        <v>9889.2499999999964</v>
      </c>
      <c r="L85" t="s">
        <v>106</v>
      </c>
      <c r="M85">
        <v>4.4000000000000004</v>
      </c>
      <c r="N85">
        <v>0</v>
      </c>
      <c r="O85">
        <v>0</v>
      </c>
      <c r="P85">
        <v>4.3999999999999986</v>
      </c>
      <c r="Q85">
        <v>0</v>
      </c>
      <c r="R85">
        <v>0</v>
      </c>
      <c r="S85" s="1">
        <f t="shared" si="4"/>
        <v>0.98892499999999983</v>
      </c>
      <c r="T85">
        <f t="shared" si="5"/>
        <v>9889.2499999999982</v>
      </c>
    </row>
    <row r="86" spans="1:20" x14ac:dyDescent="0.2">
      <c r="A86" s="2">
        <v>43832.864583333343</v>
      </c>
      <c r="B86">
        <v>4.16</v>
      </c>
      <c r="C86">
        <v>0</v>
      </c>
      <c r="D86">
        <v>0</v>
      </c>
      <c r="E86">
        <v>4.16</v>
      </c>
      <c r="F86">
        <v>0</v>
      </c>
      <c r="G86">
        <v>0</v>
      </c>
      <c r="H86">
        <v>98.850899999999967</v>
      </c>
      <c r="I86">
        <v>9885.0899999999965</v>
      </c>
      <c r="L86" t="s">
        <v>107</v>
      </c>
      <c r="M86">
        <v>4.16</v>
      </c>
      <c r="N86">
        <v>0</v>
      </c>
      <c r="O86">
        <v>0</v>
      </c>
      <c r="P86">
        <v>4.16</v>
      </c>
      <c r="Q86">
        <v>0</v>
      </c>
      <c r="R86">
        <v>0</v>
      </c>
      <c r="S86" s="1">
        <f t="shared" si="4"/>
        <v>0.98850899999999986</v>
      </c>
      <c r="T86">
        <f t="shared" si="5"/>
        <v>9885.0899999999983</v>
      </c>
    </row>
    <row r="87" spans="1:20" x14ac:dyDescent="0.2">
      <c r="A87" s="2">
        <v>43832.875</v>
      </c>
      <c r="B87">
        <v>4.08</v>
      </c>
      <c r="C87">
        <v>0</v>
      </c>
      <c r="D87">
        <v>0</v>
      </c>
      <c r="E87">
        <v>4.08</v>
      </c>
      <c r="F87">
        <v>0</v>
      </c>
      <c r="G87">
        <v>0</v>
      </c>
      <c r="H87">
        <v>98.810099999999963</v>
      </c>
      <c r="I87">
        <v>9881.0099999999966</v>
      </c>
      <c r="L87" t="s">
        <v>108</v>
      </c>
      <c r="M87">
        <v>4.08</v>
      </c>
      <c r="N87">
        <v>0</v>
      </c>
      <c r="O87">
        <v>0</v>
      </c>
      <c r="P87">
        <v>4.08</v>
      </c>
      <c r="Q87">
        <v>0</v>
      </c>
      <c r="R87">
        <v>0</v>
      </c>
      <c r="S87" s="1">
        <f t="shared" si="4"/>
        <v>0.98810099999999979</v>
      </c>
      <c r="T87">
        <f t="shared" si="5"/>
        <v>9881.0099999999984</v>
      </c>
    </row>
    <row r="88" spans="1:20" x14ac:dyDescent="0.2">
      <c r="A88" s="2">
        <v>43832.885416666657</v>
      </c>
      <c r="B88">
        <v>21.81</v>
      </c>
      <c r="C88">
        <v>0</v>
      </c>
      <c r="D88">
        <v>0.2</v>
      </c>
      <c r="E88">
        <v>22.01</v>
      </c>
      <c r="F88">
        <v>0</v>
      </c>
      <c r="G88">
        <v>0</v>
      </c>
      <c r="H88">
        <v>98.59199999999997</v>
      </c>
      <c r="I88">
        <v>9859.1999999999971</v>
      </c>
      <c r="L88" t="s">
        <v>109</v>
      </c>
      <c r="M88">
        <v>21.81</v>
      </c>
      <c r="N88">
        <v>0</v>
      </c>
      <c r="O88">
        <v>0.2</v>
      </c>
      <c r="P88">
        <v>22.01</v>
      </c>
      <c r="Q88">
        <v>0</v>
      </c>
      <c r="R88">
        <v>0</v>
      </c>
      <c r="S88" s="1">
        <f t="shared" si="4"/>
        <v>0.98591999999999991</v>
      </c>
      <c r="T88">
        <f t="shared" si="5"/>
        <v>9859.1999999999989</v>
      </c>
    </row>
    <row r="89" spans="1:20" x14ac:dyDescent="0.2">
      <c r="A89" s="2">
        <v>43832.895833333343</v>
      </c>
      <c r="B89">
        <v>26.919999999999991</v>
      </c>
      <c r="C89">
        <v>0</v>
      </c>
      <c r="D89">
        <v>0</v>
      </c>
      <c r="E89">
        <v>26.919999999999991</v>
      </c>
      <c r="F89">
        <v>0</v>
      </c>
      <c r="G89">
        <v>0</v>
      </c>
      <c r="H89">
        <v>98.322799999999972</v>
      </c>
      <c r="I89">
        <v>9832.279999999997</v>
      </c>
      <c r="L89" t="s">
        <v>110</v>
      </c>
      <c r="M89">
        <v>26.92</v>
      </c>
      <c r="N89">
        <v>0</v>
      </c>
      <c r="O89">
        <v>0</v>
      </c>
      <c r="P89">
        <v>26.919999999999991</v>
      </c>
      <c r="Q89">
        <v>0</v>
      </c>
      <c r="R89">
        <v>0</v>
      </c>
      <c r="S89" s="1">
        <f t="shared" si="4"/>
        <v>0.98322799999999988</v>
      </c>
      <c r="T89">
        <f t="shared" si="5"/>
        <v>9832.2799999999988</v>
      </c>
    </row>
    <row r="90" spans="1:20" x14ac:dyDescent="0.2">
      <c r="A90" s="2">
        <v>43832.90625</v>
      </c>
      <c r="B90">
        <v>3.67</v>
      </c>
      <c r="C90">
        <v>0</v>
      </c>
      <c r="D90">
        <v>0</v>
      </c>
      <c r="E90">
        <v>3.67</v>
      </c>
      <c r="F90">
        <v>0</v>
      </c>
      <c r="G90">
        <v>0</v>
      </c>
      <c r="H90">
        <v>98.286099999999962</v>
      </c>
      <c r="I90">
        <v>9828.6099999999969</v>
      </c>
      <c r="L90" t="s">
        <v>111</v>
      </c>
      <c r="M90">
        <v>3.67</v>
      </c>
      <c r="N90">
        <v>0</v>
      </c>
      <c r="O90">
        <v>0</v>
      </c>
      <c r="P90">
        <v>3.67</v>
      </c>
      <c r="Q90">
        <v>0</v>
      </c>
      <c r="R90">
        <v>0</v>
      </c>
      <c r="S90" s="1">
        <f t="shared" si="4"/>
        <v>0.98286099999999987</v>
      </c>
      <c r="T90">
        <f t="shared" si="5"/>
        <v>9828.6099999999988</v>
      </c>
    </row>
    <row r="91" spans="1:20" x14ac:dyDescent="0.2">
      <c r="A91" s="2">
        <v>43832.916666666657</v>
      </c>
      <c r="B91">
        <v>3.57</v>
      </c>
      <c r="C91">
        <v>0</v>
      </c>
      <c r="D91">
        <v>0</v>
      </c>
      <c r="E91">
        <v>3.57</v>
      </c>
      <c r="F91">
        <v>0</v>
      </c>
      <c r="G91">
        <v>0</v>
      </c>
      <c r="H91">
        <v>98.250399999999971</v>
      </c>
      <c r="I91">
        <v>9825.0399999999972</v>
      </c>
      <c r="L91" t="s">
        <v>112</v>
      </c>
      <c r="M91">
        <v>3.57</v>
      </c>
      <c r="N91">
        <v>0</v>
      </c>
      <c r="O91">
        <v>0</v>
      </c>
      <c r="P91">
        <v>3.57</v>
      </c>
      <c r="Q91">
        <v>0</v>
      </c>
      <c r="R91">
        <v>0</v>
      </c>
      <c r="S91" s="1">
        <f t="shared" si="4"/>
        <v>0.98250399999999993</v>
      </c>
      <c r="T91">
        <f t="shared" si="5"/>
        <v>9825.0399999999991</v>
      </c>
    </row>
    <row r="92" spans="1:20" x14ac:dyDescent="0.2">
      <c r="A92" s="2">
        <v>43832.927083333343</v>
      </c>
      <c r="B92">
        <v>3.8800000000000008</v>
      </c>
      <c r="C92">
        <v>0</v>
      </c>
      <c r="D92">
        <v>0</v>
      </c>
      <c r="E92">
        <v>3.8800000000000008</v>
      </c>
      <c r="F92">
        <v>0</v>
      </c>
      <c r="G92">
        <v>0</v>
      </c>
      <c r="H92">
        <v>98.211599999999976</v>
      </c>
      <c r="I92">
        <v>9821.159999999998</v>
      </c>
      <c r="L92" t="s">
        <v>113</v>
      </c>
      <c r="M92">
        <v>3.88</v>
      </c>
      <c r="N92">
        <v>0</v>
      </c>
      <c r="O92">
        <v>0</v>
      </c>
      <c r="P92">
        <v>3.8800000000000008</v>
      </c>
      <c r="Q92">
        <v>0</v>
      </c>
      <c r="R92">
        <v>0</v>
      </c>
      <c r="S92" s="1">
        <f t="shared" si="4"/>
        <v>0.98211599999999999</v>
      </c>
      <c r="T92">
        <f t="shared" si="5"/>
        <v>9821.16</v>
      </c>
    </row>
    <row r="93" spans="1:20" x14ac:dyDescent="0.2">
      <c r="A93" s="2">
        <v>43832.9375</v>
      </c>
      <c r="B93">
        <v>4.5399999999999991</v>
      </c>
      <c r="C93">
        <v>0</v>
      </c>
      <c r="D93">
        <v>0</v>
      </c>
      <c r="E93">
        <v>4.5399999999999991</v>
      </c>
      <c r="F93">
        <v>0</v>
      </c>
      <c r="G93">
        <v>0</v>
      </c>
      <c r="H93">
        <v>98.166199999999975</v>
      </c>
      <c r="I93">
        <v>9816.6199999999972</v>
      </c>
      <c r="L93" t="s">
        <v>114</v>
      </c>
      <c r="M93">
        <v>4.54</v>
      </c>
      <c r="N93">
        <v>0</v>
      </c>
      <c r="O93">
        <v>0</v>
      </c>
      <c r="P93">
        <v>4.5399999999999991</v>
      </c>
      <c r="Q93">
        <v>0</v>
      </c>
      <c r="R93">
        <v>0</v>
      </c>
      <c r="S93" s="1">
        <f t="shared" si="4"/>
        <v>0.98166199999999992</v>
      </c>
      <c r="T93">
        <f t="shared" si="5"/>
        <v>9816.619999999999</v>
      </c>
    </row>
    <row r="94" spans="1:20" x14ac:dyDescent="0.2">
      <c r="A94" s="2">
        <v>43832.947916666657</v>
      </c>
      <c r="B94">
        <v>4.33</v>
      </c>
      <c r="C94">
        <v>0</v>
      </c>
      <c r="D94">
        <v>0</v>
      </c>
      <c r="E94">
        <v>4.33</v>
      </c>
      <c r="F94">
        <v>0</v>
      </c>
      <c r="G94">
        <v>0</v>
      </c>
      <c r="H94">
        <v>98.122899999999973</v>
      </c>
      <c r="I94">
        <v>9812.2899999999972</v>
      </c>
      <c r="L94" t="s">
        <v>115</v>
      </c>
      <c r="M94">
        <v>4.33</v>
      </c>
      <c r="N94">
        <v>0</v>
      </c>
      <c r="O94">
        <v>0</v>
      </c>
      <c r="P94">
        <v>4.33</v>
      </c>
      <c r="Q94">
        <v>0</v>
      </c>
      <c r="R94">
        <v>0</v>
      </c>
      <c r="S94" s="1">
        <f t="shared" si="4"/>
        <v>0.98122899999999991</v>
      </c>
      <c r="T94">
        <f t="shared" si="5"/>
        <v>9812.2899999999991</v>
      </c>
    </row>
    <row r="95" spans="1:20" x14ac:dyDescent="0.2">
      <c r="A95" s="2">
        <v>43832.958333333343</v>
      </c>
      <c r="B95">
        <v>4.5999999999999996</v>
      </c>
      <c r="C95">
        <v>0</v>
      </c>
      <c r="D95">
        <v>0</v>
      </c>
      <c r="E95">
        <v>4.5999999999999996</v>
      </c>
      <c r="F95">
        <v>0</v>
      </c>
      <c r="G95">
        <v>0</v>
      </c>
      <c r="H95">
        <v>98.076899999999966</v>
      </c>
      <c r="I95">
        <v>9807.6899999999969</v>
      </c>
      <c r="L95" t="s">
        <v>116</v>
      </c>
      <c r="M95">
        <v>4.5999999999999996</v>
      </c>
      <c r="N95">
        <v>0</v>
      </c>
      <c r="O95">
        <v>0</v>
      </c>
      <c r="P95">
        <v>4.5999999999999996</v>
      </c>
      <c r="Q95">
        <v>0</v>
      </c>
      <c r="R95">
        <v>0</v>
      </c>
      <c r="S95" s="1">
        <f t="shared" si="4"/>
        <v>0.98076899999999989</v>
      </c>
      <c r="T95">
        <f t="shared" si="5"/>
        <v>9807.6899999999987</v>
      </c>
    </row>
    <row r="96" spans="1:20" x14ac:dyDescent="0.2">
      <c r="A96" s="2">
        <v>43832.96875</v>
      </c>
      <c r="B96">
        <v>4.419999999999999</v>
      </c>
      <c r="C96">
        <v>0</v>
      </c>
      <c r="D96">
        <v>0</v>
      </c>
      <c r="E96">
        <v>4.419999999999999</v>
      </c>
      <c r="F96">
        <v>0</v>
      </c>
      <c r="G96">
        <v>0</v>
      </c>
      <c r="H96">
        <v>98.032699999999977</v>
      </c>
      <c r="I96">
        <v>9803.2699999999968</v>
      </c>
      <c r="L96" t="s">
        <v>117</v>
      </c>
      <c r="M96">
        <v>4.42</v>
      </c>
      <c r="N96">
        <v>0</v>
      </c>
      <c r="O96">
        <v>0</v>
      </c>
      <c r="P96">
        <v>4.419999999999999</v>
      </c>
      <c r="Q96">
        <v>0</v>
      </c>
      <c r="R96">
        <v>0</v>
      </c>
      <c r="S96" s="1">
        <f t="shared" si="4"/>
        <v>0.98032699999999984</v>
      </c>
      <c r="T96">
        <f t="shared" si="5"/>
        <v>9803.2699999999986</v>
      </c>
    </row>
    <row r="97" spans="1:20" x14ac:dyDescent="0.2">
      <c r="A97" s="2">
        <v>43832.979166666657</v>
      </c>
      <c r="B97">
        <v>4.5999999999999996</v>
      </c>
      <c r="C97">
        <v>0</v>
      </c>
      <c r="D97">
        <v>0</v>
      </c>
      <c r="E97">
        <v>4.5999999999999996</v>
      </c>
      <c r="F97">
        <v>0</v>
      </c>
      <c r="G97">
        <v>0</v>
      </c>
      <c r="H97">
        <v>97.986699999999956</v>
      </c>
      <c r="I97">
        <v>9798.6699999999964</v>
      </c>
      <c r="L97" t="s">
        <v>118</v>
      </c>
      <c r="M97">
        <v>4.5999999999999996</v>
      </c>
      <c r="N97">
        <v>0</v>
      </c>
      <c r="O97">
        <v>0</v>
      </c>
      <c r="P97">
        <v>4.5999999999999996</v>
      </c>
      <c r="Q97">
        <v>0</v>
      </c>
      <c r="R97">
        <v>0</v>
      </c>
      <c r="S97" s="1">
        <f t="shared" si="4"/>
        <v>0.97986699999999982</v>
      </c>
      <c r="T97">
        <f t="shared" si="5"/>
        <v>9798.6699999999983</v>
      </c>
    </row>
    <row r="98" spans="1:20" x14ac:dyDescent="0.2">
      <c r="A98" s="2">
        <v>43832.989583333343</v>
      </c>
      <c r="B98">
        <v>4.58</v>
      </c>
      <c r="C98">
        <v>0</v>
      </c>
      <c r="D98">
        <v>0</v>
      </c>
      <c r="E98">
        <v>4.58</v>
      </c>
      <c r="F98">
        <v>0</v>
      </c>
      <c r="G98">
        <v>0</v>
      </c>
      <c r="H98">
        <v>97.940899999999971</v>
      </c>
      <c r="I98">
        <v>9794.0899999999965</v>
      </c>
      <c r="L98" t="s">
        <v>119</v>
      </c>
      <c r="M98">
        <v>4.58</v>
      </c>
      <c r="N98">
        <v>0</v>
      </c>
      <c r="O98">
        <v>0</v>
      </c>
      <c r="P98">
        <v>4.58</v>
      </c>
      <c r="Q98">
        <v>0</v>
      </c>
      <c r="R98">
        <v>0</v>
      </c>
      <c r="S98" s="1">
        <f t="shared" si="4"/>
        <v>0.97940899999999986</v>
      </c>
      <c r="T98">
        <f t="shared" si="5"/>
        <v>9794.0899999999983</v>
      </c>
    </row>
    <row r="99" spans="1:20" x14ac:dyDescent="0.2">
      <c r="A99" s="2">
        <v>43832.999988425923</v>
      </c>
      <c r="B99">
        <v>4.1599999999999993</v>
      </c>
      <c r="C99">
        <v>0</v>
      </c>
      <c r="D99">
        <v>0</v>
      </c>
      <c r="E99">
        <v>4.1599999999999993</v>
      </c>
      <c r="F99">
        <v>0</v>
      </c>
      <c r="G99">
        <v>0</v>
      </c>
      <c r="H99">
        <v>97.899299999999968</v>
      </c>
      <c r="I99">
        <v>9789.9299999999967</v>
      </c>
      <c r="L99" t="s">
        <v>120</v>
      </c>
      <c r="M99">
        <v>4.16</v>
      </c>
      <c r="N99">
        <v>0</v>
      </c>
      <c r="O99">
        <v>0</v>
      </c>
      <c r="P99">
        <v>4.1599999999999993</v>
      </c>
      <c r="Q99">
        <v>0</v>
      </c>
      <c r="R99">
        <v>0</v>
      </c>
      <c r="S99" s="1">
        <f t="shared" ref="S99:S130" si="6">T99/V$1</f>
        <v>0.97899299999999989</v>
      </c>
      <c r="T99">
        <f t="shared" si="5"/>
        <v>9789.9299999999985</v>
      </c>
    </row>
    <row r="100" spans="1:20" x14ac:dyDescent="0.2">
      <c r="F100">
        <f>SUM(F3:F99)</f>
        <v>2670.8300000000017</v>
      </c>
      <c r="G100">
        <f>SUM(G3:G99)</f>
        <v>0</v>
      </c>
      <c r="Q100">
        <f>SUM(Q3:Q99)</f>
        <v>2133.83</v>
      </c>
      <c r="R100">
        <f>SUM(R3:R99)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2020-01-01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2025-10-08T13:34:30Z</dcterms:created>
  <dcterms:modified xsi:type="dcterms:W3CDTF">2025-10-08T13:36:44Z</dcterms:modified>
</cp:coreProperties>
</file>
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kristian/PycharmProjects/EnergyOptimization/Dataset/ResultsClingcon/H1_15_min_Wh/"/>
    </mc:Choice>
  </mc:AlternateContent>
  <xr:revisionPtr revIDLastSave="0" documentId="8_{8227BC01-3C4A-FA42-AF13-5EC3859E0DF7}" xr6:coauthVersionLast="47" xr6:coauthVersionMax="47" xr10:uidLastSave="{00000000-0000-0000-0000-000000000000}"/>
  <bookViews>
    <workbookView xWindow="0" yWindow="500" windowWidth="38400" windowHeight="19460" xr2:uid="{00000000-000D-0000-FFFF-FFFF00000000}"/>
  </bookViews>
  <sheets>
    <sheet name="2020-01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4" i="1" l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X9" i="1"/>
  <c r="T3" i="1"/>
  <c r="T4" i="1" s="1"/>
  <c r="S3" i="1"/>
  <c r="T5" i="1" l="1"/>
  <c r="S4" i="1"/>
  <c r="T6" i="1" l="1"/>
  <c r="S5" i="1"/>
  <c r="S6" i="1" l="1"/>
  <c r="T7" i="1"/>
  <c r="S7" i="1" l="1"/>
  <c r="T8" i="1"/>
  <c r="T9" i="1" l="1"/>
  <c r="S8" i="1"/>
  <c r="S9" i="1" l="1"/>
  <c r="T10" i="1"/>
  <c r="S10" i="1" l="1"/>
  <c r="T11" i="1"/>
  <c r="T12" i="1" l="1"/>
  <c r="S11" i="1"/>
  <c r="T13" i="1" l="1"/>
  <c r="S12" i="1"/>
  <c r="S13" i="1" l="1"/>
  <c r="T14" i="1"/>
  <c r="S14" i="1" l="1"/>
  <c r="T15" i="1"/>
  <c r="T16" i="1" l="1"/>
  <c r="S15" i="1"/>
  <c r="T17" i="1" l="1"/>
  <c r="S16" i="1"/>
  <c r="S17" i="1" l="1"/>
  <c r="T18" i="1"/>
  <c r="S18" i="1" l="1"/>
  <c r="T19" i="1"/>
  <c r="T20" i="1" l="1"/>
  <c r="S19" i="1"/>
  <c r="T21" i="1" l="1"/>
  <c r="S20" i="1"/>
  <c r="S21" i="1" l="1"/>
  <c r="T22" i="1"/>
  <c r="S22" i="1" l="1"/>
  <c r="T23" i="1"/>
  <c r="T24" i="1" l="1"/>
  <c r="S23" i="1"/>
  <c r="T25" i="1" l="1"/>
  <c r="S24" i="1"/>
  <c r="S25" i="1" l="1"/>
  <c r="T26" i="1"/>
  <c r="S26" i="1" l="1"/>
  <c r="T27" i="1"/>
  <c r="T28" i="1" l="1"/>
  <c r="S27" i="1"/>
  <c r="T29" i="1" l="1"/>
  <c r="S28" i="1"/>
  <c r="S29" i="1" l="1"/>
  <c r="T30" i="1"/>
  <c r="S30" i="1" l="1"/>
  <c r="T31" i="1"/>
  <c r="T32" i="1" l="1"/>
  <c r="S31" i="1"/>
  <c r="T33" i="1" l="1"/>
  <c r="S32" i="1"/>
  <c r="S33" i="1" l="1"/>
  <c r="T34" i="1"/>
  <c r="S34" i="1" l="1"/>
  <c r="T35" i="1"/>
  <c r="T36" i="1" l="1"/>
  <c r="S35" i="1"/>
  <c r="T37" i="1" l="1"/>
  <c r="S36" i="1"/>
  <c r="S37" i="1" l="1"/>
  <c r="T38" i="1"/>
  <c r="S38" i="1" l="1"/>
  <c r="T39" i="1"/>
  <c r="T40" i="1" l="1"/>
  <c r="S39" i="1"/>
  <c r="T41" i="1" l="1"/>
  <c r="S40" i="1"/>
  <c r="S41" i="1" l="1"/>
  <c r="T42" i="1"/>
  <c r="S42" i="1" l="1"/>
  <c r="T43" i="1"/>
  <c r="T44" i="1" l="1"/>
  <c r="S43" i="1"/>
  <c r="T45" i="1" l="1"/>
  <c r="S44" i="1"/>
  <c r="S45" i="1" l="1"/>
  <c r="T46" i="1"/>
  <c r="S46" i="1" l="1"/>
  <c r="T47" i="1"/>
  <c r="T48" i="1" l="1"/>
  <c r="S47" i="1"/>
  <c r="T49" i="1" l="1"/>
  <c r="S48" i="1"/>
  <c r="S49" i="1" l="1"/>
  <c r="T50" i="1"/>
  <c r="S50" i="1" l="1"/>
  <c r="T51" i="1"/>
  <c r="T52" i="1" l="1"/>
  <c r="S51" i="1"/>
  <c r="T53" i="1" l="1"/>
  <c r="S52" i="1"/>
  <c r="S53" i="1" l="1"/>
  <c r="T54" i="1"/>
  <c r="S54" i="1" l="1"/>
  <c r="T55" i="1"/>
  <c r="T56" i="1" l="1"/>
  <c r="S55" i="1"/>
  <c r="T57" i="1" l="1"/>
  <c r="S56" i="1"/>
  <c r="S57" i="1" l="1"/>
  <c r="T58" i="1"/>
  <c r="S58" i="1" l="1"/>
  <c r="T59" i="1"/>
  <c r="T60" i="1" l="1"/>
  <c r="S59" i="1"/>
  <c r="T61" i="1" l="1"/>
  <c r="S60" i="1"/>
  <c r="S61" i="1" l="1"/>
  <c r="T62" i="1"/>
  <c r="S62" i="1" l="1"/>
  <c r="T63" i="1"/>
  <c r="T64" i="1" l="1"/>
  <c r="S63" i="1"/>
  <c r="T65" i="1" l="1"/>
  <c r="S64" i="1"/>
  <c r="S65" i="1" l="1"/>
  <c r="T66" i="1"/>
  <c r="S66" i="1" l="1"/>
  <c r="T67" i="1"/>
  <c r="T68" i="1" l="1"/>
  <c r="S67" i="1"/>
  <c r="T69" i="1" l="1"/>
  <c r="S68" i="1"/>
  <c r="S69" i="1" l="1"/>
  <c r="T70" i="1"/>
  <c r="S70" i="1" l="1"/>
  <c r="T71" i="1"/>
  <c r="T72" i="1" l="1"/>
  <c r="S71" i="1"/>
  <c r="T73" i="1" l="1"/>
  <c r="S72" i="1"/>
  <c r="S73" i="1" l="1"/>
  <c r="T74" i="1"/>
  <c r="S74" i="1" l="1"/>
  <c r="T75" i="1"/>
  <c r="T76" i="1" l="1"/>
  <c r="S75" i="1"/>
  <c r="T77" i="1" l="1"/>
  <c r="S76" i="1"/>
  <c r="S77" i="1" l="1"/>
  <c r="T78" i="1"/>
  <c r="S78" i="1" l="1"/>
  <c r="T79" i="1"/>
  <c r="T80" i="1" l="1"/>
  <c r="S79" i="1"/>
  <c r="T81" i="1" l="1"/>
  <c r="S80" i="1"/>
  <c r="S81" i="1" l="1"/>
  <c r="T82" i="1"/>
  <c r="S82" i="1" l="1"/>
  <c r="T83" i="1"/>
  <c r="T84" i="1" l="1"/>
  <c r="S83" i="1"/>
  <c r="T85" i="1" l="1"/>
  <c r="S84" i="1"/>
  <c r="S85" i="1" l="1"/>
  <c r="T86" i="1"/>
  <c r="S86" i="1" l="1"/>
  <c r="T87" i="1"/>
  <c r="T88" i="1" l="1"/>
  <c r="S87" i="1"/>
  <c r="T89" i="1" l="1"/>
  <c r="S88" i="1"/>
  <c r="S89" i="1" l="1"/>
  <c r="T90" i="1"/>
  <c r="S90" i="1" l="1"/>
  <c r="T91" i="1"/>
  <c r="T92" i="1" l="1"/>
  <c r="S91" i="1"/>
  <c r="T93" i="1" l="1"/>
  <c r="S92" i="1"/>
  <c r="S93" i="1" l="1"/>
  <c r="T94" i="1"/>
  <c r="S94" i="1" s="1"/>
</calcChain>
</file>

<file path=xl/sharedStrings.xml><?xml version="1.0" encoding="utf-8"?>
<sst xmlns="http://schemas.openxmlformats.org/spreadsheetml/2006/main" count="216" uniqueCount="116">
  <si>
    <t>Original Dataset</t>
  </si>
  <si>
    <t>Analysis: H1_15_min_Wh</t>
  </si>
  <si>
    <t>ASP Solution</t>
  </si>
  <si>
    <t>Init Charge (%):</t>
  </si>
  <si>
    <t>Max Charge:</t>
  </si>
  <si>
    <t>Minimum storage Level</t>
  </si>
  <si>
    <t>date</t>
  </si>
  <si>
    <t>Discharge(KW)</t>
  </si>
  <si>
    <t>Charge(KW)</t>
  </si>
  <si>
    <t>Production(KW)</t>
  </si>
  <si>
    <t>Consumption(KW)</t>
  </si>
  <si>
    <t>Feed-in(KW)</t>
  </si>
  <si>
    <t>From grid(KW)</t>
  </si>
  <si>
    <t>State of Charge (%)</t>
  </si>
  <si>
    <t>State of Charge (Value)</t>
  </si>
  <si>
    <t>Maximum storage Level</t>
  </si>
  <si>
    <t>2020-01-01 1:15:00</t>
  </si>
  <si>
    <t>Maximum Power (both Charge and Discharge)</t>
  </si>
  <si>
    <t>18kWh</t>
  </si>
  <si>
    <t>2020-01-01 1:30:00</t>
  </si>
  <si>
    <t>2020-01-01 1:45:00</t>
  </si>
  <si>
    <t>2020-01-01 2:00:00</t>
  </si>
  <si>
    <t xml:space="preserve">Is Optimal: </t>
  </si>
  <si>
    <t>NOT KNOWN</t>
  </si>
  <si>
    <t>2020-01-01 2:15:00</t>
  </si>
  <si>
    <t xml:space="preserve">Last Answer Set Number: </t>
  </si>
  <si>
    <t xml:space="preserve"> 1 (Time: 0.009s).
vP_L("2020-01-01","10:00:00","30.269999999999996"). vP_L("2020-01-01","10:15:00","24.469999999999995"). vP_L("2020-01-01","10:30:00","183.41"). vP_L("2020-01-01","10:45:00","45.64000000000001"). vP_L("2020-01-01","11:00:00","25.099999999999998"). vP_L("2020-01-01","11:15:00","140.03"). vP_L("2020-01-01","11:30:00","28.310000000000002"). vP_L("2020-01-01","11:45:00","23.78"). vP_L("2020-01-01","12:00:00","9.28"). vP_L("2020-01-01","12:15:00","7.869999999999999"). vP_L("2020-01-01","12:30:00","8.120000000000001"). vP_L("2020-01-01","12:45:00","8.3"). vP_L("2020-01-01","13:00:00","8.0"). vP_L("2020-01-01","13:15:00","351.31"). vP_L("2020-01-01","13:30:00","870.2500000000001"). vP_L("2020-01-01","13:45:00","157.14999999999998"). vP_L("2020-01-01","14:00:00","57.25"). vP_L("2020-01-01","14:15:00","9.19"). vP_L("2020-01-01","14:30:00","30.599999999999998"). vP_L("2020-01-01","14:45:00","17.57"). vP_L("2020-01-01","15:00:00","8.22"). vP_L("2020-01-01","15:15:00","8.34"). vP_L("2020-01-01","15:30:00","8.68"). vP_L("2020-01-01","15:45:00","9.480000000000002"). vP_L("2020-01-01","16:00:00","33.160000000000004"). vP_L("2020-01-01","16:15:00","15.019999999999998"). vP_L("2020-01-01","16:30:00","10.690000000000001"). vP_L("2020-01-01","16:45:00","256.96999999999997"). vP_L("2020-01-01","17:00:00","244.00999999999996"). vP_L("2020-01-01","17:15:00","179.88000000000002"). vP_L("2020-01-01","17:30:00","193.43"). vP_L("2020-01-01","17:45:00","201.72"). vP_L("2020-01-01","18:00:00","547.07"). vP_L("2020-01-01","18:15:00","430.0499999999999"). vP_L("2020-01-01","18:30:00","366.76000000000005"). vP_L("2020-01-01","18:45:00","334.98999999999995"). vP_L("2020-01-01","19:00:00","205.54"). vP_L("2020-01-01","19:15:00","197.98"). vP_L("2020-01-01","19:30:00","192.24999999999997"). vP_L("2020-01-01","19:45:00","283.61"). vP_L("2020-01-01","1:15:00","23.450000000000003"). vP_L("2020-01-01","1:30:00","26.230000000000004"). vP_L("2020-01-01","1:45:00","34.97"). vP_L("2020-01-01","20:00:00","226.68"). vP_L("2020-01-01","20:15:00","244.39999999999998"). vP_L("2020-01-01","20:30:00","194.19000000000003"). vP_L("2020-01-01","20:45:00","187.44"). vP_L("2020-01-01","21:00:00","187.72999999999996"). vP_L("2020-01-01","21:15:00","187.64000000000004"). vP_L("2020-01-01","21:30:00","209.08999999999997"). vP_L("2020-01-01","21:45:00","206.07999999999998"). vP_L("2020-01-01","22:00:00","128.23"). vP_L("2020-01-01","22:15:00","59.010000000000005"). vP_L("2020-01-01","22:30:00","56.47000000000001"). vP_L("2020-01-01","22:45:00","73.53"). vP_L("2020-01-01","23:00:00","86.96000000000001"). vP_L("2020-01-01","23:15:00","71.03"). vP_L("2020-01-01","23:30:00","86.88999999999999"). vP_L("2020-01-01","23:45:00","96.16"). vP_L("2020-01-01","24:00:00","53.970000000000006"). vP_L("2020-01-01","2:00:00","12.34"). vP_L("2020-01-01","2:15:00","11.010000000000002"). vP_L("2020-01-01","2:30:00","10.4"). vP_L("2020-01-01","2:45:00","9.880000000000003"). vP_L("2020-01-01","3:00:00","9.84"). vP_L("2020-01-01","3:15:00","33.72999999999999"). vP_L("2020-01-01","3:30:00","27.95999999999999"). vP_L("2020-01-01","3:45:00","9.630000000000003"). vP_L("2020-01-01","4:00:00","9.46"). vP_L("2020-01-01","4:15:00","9.42"). vP_L("2020-01-01","4:30:00","9.48"). vP_L("2020-01-01","4:45:00","14.87"). vP_L("2020-01-01","5:00:00","33.44"). vP_L("2020-01-01","5:15:00","12.580000000000004"). vP_L("2020-01-01","5:30:00","9.409999999999998"). vP_L("2020-01-01","5:45:00","9.71"). vP_L("2020-01-01","6:00:00","9.770000000000001"). vP_L("2020-01-01","6:15:00","9.930000000000001"). vP_L("2020-01-01","6:30:00","23.939999999999998"). vP_L("2020-01-01","6:45:00","29.240000000000002"). vP_L("2020-01-01","7:00:00","9.500000000000002"). vP_L("2020-01-01","7:15:00","9.530000000000001"). vP_L("2020-01-01","7:30:00","9.490000000000002"). vP_L("2020-01-01","7:45:00","9.500000000000002"). vP_L("2020-01-01","8:00:00","9.440000000000001"). vP_L("2020-01-01","8:15:00","26.66"). vP_L("2020-01-01","8:30:00","25.469999999999995"). vP_L("2020-01-01","8:45:00","9.410000000000002"). vP_L("2020-01-01","9:00:00","9.360000000000001"). vP_L("2020-01-01","9:15:00","11.17"). vP_L("2020-01-01","9:30:00","11.16"). vP_L("2020-01-01","9:45:00","11.22"). vP_PV("2020-01-01","10:00:00","14.070000000000002"). vP_PV("2020-01-01","10:15:00","24.360000000000003"). vP_PV("2020-01-01","10:30:00","27.630000000000003"). vP_PV("2020-01-01","10:45:00","24.14"). vP_PV("2020-01-01","11:00:00","37.37"). vP_PV("2020-01-01","11:15:00","48.28999999999999"). vP_PV("2020-01-01","11:30:00","51.33"). vP_PV("2020-01-01","11:45:00","140.36"). vP_PV("2020-01-01","12:00:00","166.61"). vP_PV("2020-01-01","12:15:00","154.57999999999998"). vP_PV("2020-01-01","12:30:00","155.13"). vP_PV("2020-01-01","12:45:00","171.15999999999997"). vP_PV("2020-01-01","13:00:00","191.87"). vP_PV("2020-01-01","13:15:00","175.33999999999995"). vP_PV("2020-01-01","13:30:00","68.28"). vP_PV("2020-01-01","13:45:00","54.739999999999995"). vP_PV("2020-01-01","14:00:00","46.33"). vP_PV("2020-01-01","14:15:00","43.449999999999996"). vP_PV("2020-01-01","14:30:00","40.97"). vP_PV("2020-01-01","14:45:00","38.23000000000001"). vP_PV("2020-01-01","15:00:00","8.31"). vP_PV("2020-01-01","15:15:00","8.02"). vP_PV("2020-01-01","15:30:00","15.409999999999998"). vP_PV("2020-01-01","15:45:00","2.6099999999999994"). vP_PV("2020-01-01","16:00:00","2.6899999999999995"). vP_PV("2020-01-01","16:15:00","0.25"). vP_PV("2020-01-01","16:30:00","0.05"). vP_PV("2020-01-01","16:45:00","0.0"). vP_PV("2020-01-01","17:00:00","0.0"). vP_PV("2020-01-01","17:15:00","0.0"). vP_PV("2020-01-01","17:30:00","0.0"). vP_PV("2020-01-01","17:45:00","0.0"). vP_PV("2020-01-01","18:00:00","0.0"). vP_PV("2020-01-01","18:15:00","0.0"). vP_PV("2020-01-01","18:30:00","0.0"). vP_PV("2020-01-01","18:45:00","0.0"). vP_PV("2020-01-01","19:00:00","0.0"). vP_PV("2020-01-01","19:15:00","0.0"). vP_PV("2020-01-01","19:30:00","0.0"). vP_PV("2020-01-01","19:45:00","0.0"). vP_PV("2020-01-01","1:15:00","0.0"). vP_PV("2020-01-01","1:30:00","0.0"). vP_PV("2020-01-01","1:45:00","0.0"). vP_PV("2020-01-01","20:00:00","0.0"). vP_PV("2020-01-01","20:15:00","0.0"). vP_PV("2020-01-01","20:30:00","0.0"). vP_PV("2020-01-01","20:45:00","0.0"). vP_PV("2020-01-01","21:00:00","0.0"). vP_PV("2020-01-01","21:15:00","0.0"). vP_PV("2020-01-01","21:30:00","0.0"). vP_PV("2020-01-01","21:45:00","0.0"). vP_PV("2020-01-01","22:00:00","0.0"). vP_PV("2020-01-01","22:15:00","0.0"). vP_PV("2020-01-01","22:30:00","0.0"). vP_PV("2020-01-01","22:45:00","0.0"). vP_PV("2020-01-01","23:00:00","0.0"). vP_PV("2020-01-01","23:15:00","0.0"). vP_PV("2020-01-01","23:30:00","0.0"). vP_PV("2020-01-01","23:45:00","0.0"). vP_PV("2020-01-01","24:00:00","0.0"). vP_PV("2020-01-01","2:00:00","0.0"). vP_PV("2020-01-01","2:15:00","0.0"). vP_PV("2020-01-01","2:30:00","0.0"). vP_PV("2020-01-01","2:45:00","0.0"). vP_PV("2020-01-01","3:00:00","0.0"). vP_PV("2020-01-01","3:15:00","0.0"). vP_PV("2020-01-01","3:30:00","0.0"). vP_PV("2020-01-01","3:45:00","0.0"). vP_PV("2020-01-01","4:00:00","0.0"). vP_PV("2020-01-01","4:15:00","0.0"). vP_PV("2020-01-01","4:30:00","0.0"). vP_PV("2020-01-01","4:45:00","0.0"). vP_PV("2020-01-01","5:00:00","0.0"). vP_PV("2020-01-01","5:15:00","0.0"). vP_PV("2020-01-01","5:30:00","0.0"). vP_PV("2020-01-01","5:45:00","0.0"). vP_PV("2020-01-01","6:00:00","0.0"). vP_PV("2020-01-01","6:15:00","0.0"). vP_PV("2020-01-01","6:30:00","0.0"). vP_PV("2020-01-01","6:45:00","0.0"). vP_PV("2020-01-01","7:00:00","0.0"). vP_PV("2020-01-01","7:15:00","0.0"). vP_PV("2020-01-01","7:30:00","0.0"). vP_PV("2020-01-01","7:45:00","0.0"). vP_PV("2020-01-01","8:00:00","0.0"). vP_PV("2020-01-01","8:15:00","0.0"). vP_PV("2020-01-01","8:30:00","0.0"). vP_PV("2020-01-01","8:45:00","0.0"). vP_PV("2020-01-01","9:00:00","0.0"). vP_PV("2020-01-01","9:15:00","0.07"). vP_PV("2020-01-01","9:30:00","0.65"). vP_PV("2020-01-01","9:45:00","6.29"). vP_S("2020-01-01","10:00:00","0.0"). vP_S("2020-01-01","10:15:00","8000.0"). vP_S("2020-01-01","10:30:00","-155.78"). vP_S("2020-01-01","10:45:00","-7764.75"). vP_S("2020-01-01","11:00:00","12.27"). vP_S("2020-01-01","11:15:00","-91.74"). vP_S("2020-01-01","11:30:00","23.02"). vP_S("2020-01-01","11:45:00","-23.02"). vP_S("2020-01-01","12:00:00","8000.0"). vP_S("2020-01-01","12:15:00","0.0"). vP_S("2020-01-01","12:30:00","-8000.0"). vP_S("2020-01-01","12:45:00","8000.0"). vP_S("2020-01-01","13:00:00","-8000.0"). vP_S("2020-01-01","13:15:00","0.0"). vP_S("2020-01-01","13:30:00","8000.0"). vP_S("2020-01-01","13:45:00","-102.41"). vP_S("2020-01-01","14:00:00","-7897.59"). vP_S("2020-01-01","14:15:00","8000.0"). vP_S("2020-01-01","14:30:00","0.0"). vP_S("2020-01-01","14:45:00","-8000.0"). vP_S("2020-01-01","15:00:00","0.0"). vP_S("2020-01-01","15:15:00","8000.0"). vP_S("2020-01-01","15:30:00","0.0"). vP_S("2020-01-01","15:45:00","-8000.0"). vP_S("2020-01-01","16:00:00","8000.0"). vP_S("2020-01-01","16:15:00","0.0"). vP_S("2020-01-01","16:30:00","-8000.0"). vP_S("2020-01-01","16:45:00","0.0"). vP_S("2020-01-01","17:00:00","8000.0"). vP_S("2020-01-01","17:15:00","-8000.0"). vP_S("2020-01-01","17:30:00","8000.0"). vP_S("2020-01-01","17:45:00","-8000.0"). vP_S("2020-01-01","18:00:00","0.0"). vP_S("2020-01-01","18:15:00","0.0"). vP_S("2020-01-01","18:30:00","8000.0"). vP_S("2020-01-01","18:45:00","-8000.0"). vP_S("2020-01-01","19:00:00","0.0"). vP_S("2020-01-01","19:15:00","8000.0"). vP_S("2020-01-01","19:30:00","-8000.0"). vP_S("2020-01-01","19:45:00","8000.0"). vP_S("2020-01-01","1:15:00","8000.0"). vP_S("2020-01-01","1:30:00","-8000.0"). vP_S("2020-01-01","1:45:00","0.0"). vP_S("2020-01-01","20:00:00","0.0"). vP_S("2020-01-01","20:15:00","-8000.0"). vP_S("2020-01-01","20:30:00","0.0"). vP_S("2020-01-01","20:45:00","8000.0"). vP_S("2020-01-01","21:00:00","0.0"). vP_S("2020-01-01","21:15:00","0.0"). vP_S("2020-01-01","21:30:00","-8000.0"). vP_S("2020-01-01","21:45:00","0.0"). vP_S("2020-01-01","22:00:00","8000.0"). vP_S("2020-01-01","22:15:00","-8000.0"). vP_S("2020-01-01","22:30:00","0.0"). vP_S("2020-01-01","22:45:00","8000.0"). vP_S("2020-01-01","23:00:00","0.0"). vP_S("2020-01-01","23:15:00","-8000.0"). vP_S("2020-01-01","23:30:00","0.0"). vP_S("2020-01-01","23:45:00","0.0"). vP_S("2020-01-01","24:00:00","0.0"). vP_S("2020-01-01","2:00:00","8000.0"). vP_S("2020-01-01","2:15:00","0.0"). vP_S("2020-01-01","2:30:00","0.0"). vP_S("2020-01-01","2:45:00","-8000.0"). vP_S("2020-01-01","3:00:00","0.0"). vP_S("2020-01-01","3:15:00","8000.0"). vP_S("2020-01-01","3:30:00","0.0"). vP_S("2020-01-01","3:45:00","-8000.0"). vP_S("2020-01-01","4:00:00","8000.0"). vP_S("2020-01-01","4:15:00","0.0"). vP_S("2020-01-01","4:30:00","-8000.0"). vP_S("2020-01-01","4:45:00","8000.0"). vP_S("2020-01-01","5:00:00","-8000.0"). vP_S("2020-01-01","5:15:00","0.0"). vP_S("2020-01-01","5:30:00","0.0"). vP_S("2020-01-01","5:45:00","8000.0"). vP_S("2020-01-01","6:00:00","-8000.0"). vP_S("2020-01-01","6:15:00","8000.0"). vP_S("2020-01-01","6:30:00","-8000.0"). vP_S("2020-01-01","6:45:00","8000.0"). vP_S("2020-01-01","7:00:00","-8000.0"). vP_S("2020-01-01","7:15:00","8000.0"). vP_S("2020-01-01","7:30:00","-8000.0"). vP_S("2020-01-01","7:45:00","8000.0"). vP_S("2020-01-01","8:00:00","-8000.0"). vP_S("2020-01-01","8:15:00","0.0"). vP_S("2020-01-01","8:30:00","8000.0"). vP_S("2020-01-01","8:45:00","-8000.0"). vP_S("2020-01-01","9:00:00","8000.0"). vP_S("2020-01-01","9:15:00","-8000.0"). vP_S("2020-01-01","9:30:00","8000.0"). vP_S("2020-01-01","9:45:00","-8000.0").
</t>
  </si>
  <si>
    <t>2020-01-01 2:30:00</t>
  </si>
  <si>
    <t xml:space="preserve">Time Last Answer (seconds): </t>
  </si>
  <si>
    <t>2020-01-01 2:45:00</t>
  </si>
  <si>
    <t xml:space="preserve">Time Last Answer (minutes): </t>
  </si>
  <si>
    <t>2020-01-01 3:00:00</t>
  </si>
  <si>
    <t>2020-01-01 3:15:00</t>
  </si>
  <si>
    <t>2020-01-01 3:30:00</t>
  </si>
  <si>
    <t>2020-01-01 3:45:00</t>
  </si>
  <si>
    <t>2020-01-01 4:00:00</t>
  </si>
  <si>
    <t>2020-01-01 4:15:00</t>
  </si>
  <si>
    <t>2020-01-01 4:30:00</t>
  </si>
  <si>
    <t>2020-01-01 4:45:00</t>
  </si>
  <si>
    <t>2020-01-01 5:00:00</t>
  </si>
  <si>
    <t>2020-01-01 5:15:00</t>
  </si>
  <si>
    <t>2020-01-01 5:30:00</t>
  </si>
  <si>
    <t>2020-01-01 5:45:00</t>
  </si>
  <si>
    <t>2020-01-01 6:00:00</t>
  </si>
  <si>
    <t>2020-01-01 6:15:00</t>
  </si>
  <si>
    <t>2020-01-01 6:30:00</t>
  </si>
  <si>
    <t>2020-01-01 6:45:00</t>
  </si>
  <si>
    <t>2020-01-01 7:00:00</t>
  </si>
  <si>
    <t>2020-01-01 7:15:00</t>
  </si>
  <si>
    <t>2020-01-01 7:30:00</t>
  </si>
  <si>
    <t>2020-01-01 7:45:00</t>
  </si>
  <si>
    <t>2020-01-01 8:00:00</t>
  </si>
  <si>
    <t>2020-01-01 8:15:00</t>
  </si>
  <si>
    <t>2020-01-01 8:30:00</t>
  </si>
  <si>
    <t>2020-01-01 8:45:00</t>
  </si>
  <si>
    <t>2020-01-01 9:00:00</t>
  </si>
  <si>
    <t>2020-01-01 9:15:00</t>
  </si>
  <si>
    <t>2020-01-01 9:30:00</t>
  </si>
  <si>
    <t>2020-01-01 9:45:00</t>
  </si>
  <si>
    <t>2020-01-01 10:00:00</t>
  </si>
  <si>
    <t>2020-01-01 10:15:00</t>
  </si>
  <si>
    <t>2020-01-01 10:30:00</t>
  </si>
  <si>
    <t>2020-01-01 10:45:00</t>
  </si>
  <si>
    <t>2020-01-01 11:00:00</t>
  </si>
  <si>
    <t>2020-01-01 11:15:00</t>
  </si>
  <si>
    <t>2020-01-01 11:30:00</t>
  </si>
  <si>
    <t>2020-01-01 11:45:00</t>
  </si>
  <si>
    <t>2020-01-01 12:00:00</t>
  </si>
  <si>
    <t>2020-01-01 12:15:00</t>
  </si>
  <si>
    <t>2020-01-01 12:30:00</t>
  </si>
  <si>
    <t>2020-01-01 12:45:00</t>
  </si>
  <si>
    <t>2020-01-01 13:00:00</t>
  </si>
  <si>
    <t>2020-01-01 13:15:00</t>
  </si>
  <si>
    <t>2020-01-01 13:30:00</t>
  </si>
  <si>
    <t>2020-01-01 13:45:00</t>
  </si>
  <si>
    <t>2020-01-01 14:00:00</t>
  </si>
  <si>
    <t>2020-01-01 14:15:00</t>
  </si>
  <si>
    <t>2020-01-01 14:30:00</t>
  </si>
  <si>
    <t>2020-01-01 14:45:00</t>
  </si>
  <si>
    <t>2020-01-01 15:00:00</t>
  </si>
  <si>
    <t>2020-01-01 15:15:00</t>
  </si>
  <si>
    <t>2020-01-01 15:30:00</t>
  </si>
  <si>
    <t>2020-01-01 15:45:00</t>
  </si>
  <si>
    <t>2020-01-01 16:00:00</t>
  </si>
  <si>
    <t>2020-01-01 16:15:00</t>
  </si>
  <si>
    <t>2020-01-01 16:30:00</t>
  </si>
  <si>
    <t>2020-01-01 16:45:00</t>
  </si>
  <si>
    <t>2020-01-01 17:00:00</t>
  </si>
  <si>
    <t>2020-01-01 17:15:00</t>
  </si>
  <si>
    <t>2020-01-01 17:30:00</t>
  </si>
  <si>
    <t>2020-01-01 17:45:00</t>
  </si>
  <si>
    <t>2020-01-01 18:00:00</t>
  </si>
  <si>
    <t>2020-01-01 18:15:00</t>
  </si>
  <si>
    <t>2020-01-01 18:30:00</t>
  </si>
  <si>
    <t>2020-01-01 18:45:00</t>
  </si>
  <si>
    <t>2020-01-01 19:00:00</t>
  </si>
  <si>
    <t>2020-01-01 19:15:00</t>
  </si>
  <si>
    <t>2020-01-01 19:30:00</t>
  </si>
  <si>
    <t>2020-01-01 19:45:00</t>
  </si>
  <si>
    <t>2020-01-01 20:00:00</t>
  </si>
  <si>
    <t>2020-01-01 20:15:00</t>
  </si>
  <si>
    <t>2020-01-01 20:30:00</t>
  </si>
  <si>
    <t>2020-01-01 20:45:00</t>
  </si>
  <si>
    <t>2020-01-01 21:00:00</t>
  </si>
  <si>
    <t>2020-01-01 21:15:00</t>
  </si>
  <si>
    <t>2020-01-01 21:30:00</t>
  </si>
  <si>
    <t>2020-01-01 21:45:00</t>
  </si>
  <si>
    <t>2020-01-01 22:00:00</t>
  </si>
  <si>
    <t>2020-01-01 22:15:00</t>
  </si>
  <si>
    <t>2020-01-01 22:30:00</t>
  </si>
  <si>
    <t>2020-01-01 22:45:00</t>
  </si>
  <si>
    <t>2020-01-01 23:00:00</t>
  </si>
  <si>
    <t>2020-01-01 23:15:00</t>
  </si>
  <si>
    <t>2020-01-01 23:30:00</t>
  </si>
  <si>
    <t>2020-01-01 23:45:00</t>
  </si>
  <si>
    <t>2020-01-01 24:00:00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</si>
</sst>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"/>
  <sheetViews>
    <sheetView tabSelected="1" topLeftCell="A37" workbookViewId="0">
      <selection activeCell="Y67" sqref="Y67"/>
    </sheetView>
  </sheetViews>
  <sheetFormatPr baseColWidth="10" defaultColWidth="8.83203125" defaultRowHeight="15" x14ac:dyDescent="0.2"/>
  <cols>
    <col min="12" max="12" width="26.5" customWidth="1"/>
  </cols>
  <sheetData>
    <row r="1" spans="1:25" x14ac:dyDescent="0.2">
      <c r="A1" t="s">
        <v>0</v>
      </c>
      <c r="D1" t="s">
        <v>1</v>
      </c>
      <c r="L1" t="s">
        <v>2</v>
      </c>
      <c r="R1" t="s">
        <v>3</v>
      </c>
      <c r="S1" s="1">
        <v>1</v>
      </c>
      <c r="T1">
        <v>10000</v>
      </c>
      <c r="U1" t="s">
        <v>4</v>
      </c>
      <c r="W1">
        <v>10000</v>
      </c>
      <c r="X1" t="s">
        <v>5</v>
      </c>
      <c r="Y1" s="1">
        <v>0.1</v>
      </c>
    </row>
    <row r="2" spans="1:25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X2" t="s">
        <v>15</v>
      </c>
      <c r="Y2" s="1">
        <v>1</v>
      </c>
    </row>
    <row r="3" spans="1:25" x14ac:dyDescent="0.2">
      <c r="A3" t="s">
        <v>16</v>
      </c>
      <c r="D3">
        <v>0</v>
      </c>
      <c r="E3">
        <v>23.45</v>
      </c>
      <c r="L3" t="s">
        <v>16</v>
      </c>
      <c r="M3">
        <v>0</v>
      </c>
      <c r="N3">
        <v>8000</v>
      </c>
      <c r="O3">
        <v>0</v>
      </c>
      <c r="P3">
        <v>23.45</v>
      </c>
      <c r="Q3">
        <v>0</v>
      </c>
      <c r="R3">
        <v>0</v>
      </c>
      <c r="S3" s="1">
        <f t="shared" ref="S3:S34" si="0">T3/W$1</f>
        <v>1.8</v>
      </c>
      <c r="T3">
        <f>T1-M3+N3</f>
        <v>18000</v>
      </c>
      <c r="U3">
        <f>O3-P3</f>
        <v>-23.45</v>
      </c>
      <c r="V3" t="str">
        <f>IF(U3&gt;=0,U3,"")</f>
        <v/>
      </c>
      <c r="X3" t="s">
        <v>17</v>
      </c>
      <c r="Y3" t="s">
        <v>18</v>
      </c>
    </row>
    <row r="4" spans="1:25" x14ac:dyDescent="0.2">
      <c r="A4" t="s">
        <v>19</v>
      </c>
      <c r="D4">
        <v>0</v>
      </c>
      <c r="E4">
        <v>26.23</v>
      </c>
      <c r="L4" t="s">
        <v>19</v>
      </c>
      <c r="M4">
        <v>8000</v>
      </c>
      <c r="N4">
        <v>0</v>
      </c>
      <c r="O4">
        <v>0</v>
      </c>
      <c r="P4">
        <v>26.23</v>
      </c>
      <c r="Q4">
        <v>0</v>
      </c>
      <c r="R4">
        <v>0</v>
      </c>
      <c r="S4" s="1">
        <f t="shared" si="0"/>
        <v>1</v>
      </c>
      <c r="T4">
        <f t="shared" ref="T4:T35" si="1">T3-M4+N4</f>
        <v>10000</v>
      </c>
      <c r="U4">
        <f t="shared" ref="U4:U67" si="2">O4-P4</f>
        <v>-26.23</v>
      </c>
      <c r="V4" t="str">
        <f t="shared" ref="V4:V67" si="3">IF(U4&gt;=0,U4,"")</f>
        <v/>
      </c>
    </row>
    <row r="5" spans="1:25" x14ac:dyDescent="0.2">
      <c r="A5" t="s">
        <v>20</v>
      </c>
      <c r="D5">
        <v>0</v>
      </c>
      <c r="E5">
        <v>34.97</v>
      </c>
      <c r="L5" t="s">
        <v>20</v>
      </c>
      <c r="M5">
        <v>0</v>
      </c>
      <c r="N5">
        <v>0</v>
      </c>
      <c r="O5">
        <v>0</v>
      </c>
      <c r="P5">
        <v>34.97</v>
      </c>
      <c r="Q5">
        <v>0</v>
      </c>
      <c r="R5">
        <v>0</v>
      </c>
      <c r="S5" s="1">
        <f t="shared" si="0"/>
        <v>1</v>
      </c>
      <c r="T5">
        <f t="shared" si="1"/>
        <v>10000</v>
      </c>
      <c r="U5">
        <f t="shared" si="2"/>
        <v>-34.97</v>
      </c>
      <c r="V5" t="str">
        <f t="shared" si="3"/>
        <v/>
      </c>
    </row>
    <row r="6" spans="1:25" x14ac:dyDescent="0.2">
      <c r="A6" t="s">
        <v>21</v>
      </c>
      <c r="D6">
        <v>0</v>
      </c>
      <c r="E6">
        <v>12.34</v>
      </c>
      <c r="L6" t="s">
        <v>21</v>
      </c>
      <c r="M6">
        <v>0</v>
      </c>
      <c r="N6">
        <v>8000</v>
      </c>
      <c r="O6">
        <v>0</v>
      </c>
      <c r="P6">
        <v>12.34</v>
      </c>
      <c r="Q6">
        <v>0</v>
      </c>
      <c r="R6">
        <v>0</v>
      </c>
      <c r="S6" s="1">
        <f t="shared" si="0"/>
        <v>1.8</v>
      </c>
      <c r="T6">
        <f t="shared" si="1"/>
        <v>18000</v>
      </c>
      <c r="U6">
        <f t="shared" si="2"/>
        <v>-12.34</v>
      </c>
      <c r="V6" t="str">
        <f t="shared" si="3"/>
        <v/>
      </c>
      <c r="W6" t="s">
        <v>22</v>
      </c>
      <c r="X6" t="s">
        <v>23</v>
      </c>
    </row>
    <row r="7" spans="1:25" x14ac:dyDescent="0.2">
      <c r="A7" t="s">
        <v>24</v>
      </c>
      <c r="D7">
        <v>0</v>
      </c>
      <c r="E7">
        <v>11.01</v>
      </c>
      <c r="L7" t="s">
        <v>24</v>
      </c>
      <c r="M7">
        <v>0</v>
      </c>
      <c r="N7">
        <v>0</v>
      </c>
      <c r="O7">
        <v>0</v>
      </c>
      <c r="P7">
        <v>11.01</v>
      </c>
      <c r="Q7">
        <v>0</v>
      </c>
      <c r="R7">
        <v>0</v>
      </c>
      <c r="S7" s="1">
        <f t="shared" si="0"/>
        <v>1.8</v>
      </c>
      <c r="T7">
        <f t="shared" si="1"/>
        <v>18000</v>
      </c>
      <c r="U7">
        <f t="shared" si="2"/>
        <v>-11.01</v>
      </c>
      <c r="V7" t="str">
        <f t="shared" si="3"/>
        <v/>
      </c>
      <c r="W7" t="s">
        <v>25</v>
      </c>
      <c r="X7" t="s">
        <v>26</v>
      </c>
    </row>
    <row r="8" spans="1:25" x14ac:dyDescent="0.2">
      <c r="A8" t="s">
        <v>27</v>
      </c>
      <c r="D8">
        <v>0</v>
      </c>
      <c r="E8">
        <v>10.4</v>
      </c>
      <c r="L8" t="s">
        <v>27</v>
      </c>
      <c r="M8">
        <v>0</v>
      </c>
      <c r="N8">
        <v>0</v>
      </c>
      <c r="O8">
        <v>0</v>
      </c>
      <c r="P8">
        <v>10.4</v>
      </c>
      <c r="Q8">
        <v>0</v>
      </c>
      <c r="R8">
        <v>0</v>
      </c>
      <c r="S8" s="1">
        <f t="shared" si="0"/>
        <v>1.8</v>
      </c>
      <c r="T8">
        <f t="shared" si="1"/>
        <v>18000</v>
      </c>
      <c r="U8">
        <f t="shared" si="2"/>
        <v>-10.4</v>
      </c>
      <c r="V8" t="str">
        <f t="shared" si="3"/>
        <v/>
      </c>
      <c r="W8" t="s">
        <v>28</v>
      </c>
      <c r="X8">
        <v>8.9999999999999993E-3</v>
      </c>
    </row>
    <row r="9" spans="1:25" x14ac:dyDescent="0.2">
      <c r="A9" t="s">
        <v>29</v>
      </c>
      <c r="D9">
        <v>0</v>
      </c>
      <c r="E9">
        <v>9.8800000000000026</v>
      </c>
      <c r="L9" t="s">
        <v>29</v>
      </c>
      <c r="M9">
        <v>8000</v>
      </c>
      <c r="N9">
        <v>0</v>
      </c>
      <c r="O9">
        <v>0</v>
      </c>
      <c r="P9">
        <v>9.8800000000000026</v>
      </c>
      <c r="Q9">
        <v>0</v>
      </c>
      <c r="R9">
        <v>0</v>
      </c>
      <c r="S9" s="1">
        <f t="shared" si="0"/>
        <v>1</v>
      </c>
      <c r="T9">
        <f t="shared" si="1"/>
        <v>10000</v>
      </c>
      <c r="U9">
        <f t="shared" si="2"/>
        <v>-9.8800000000000026</v>
      </c>
      <c r="V9" t="str">
        <f t="shared" si="3"/>
        <v/>
      </c>
      <c r="W9" t="s">
        <v>30</v>
      </c>
      <c r="X9">
        <f>X8/60</f>
        <v>1.4999999999999999E-4</v>
      </c>
    </row>
    <row r="10" spans="1:25" x14ac:dyDescent="0.2">
      <c r="A10" t="s">
        <v>31</v>
      </c>
      <c r="D10">
        <v>0</v>
      </c>
      <c r="E10">
        <v>9.84</v>
      </c>
      <c r="L10" t="s">
        <v>31</v>
      </c>
      <c r="M10">
        <v>0</v>
      </c>
      <c r="N10">
        <v>0</v>
      </c>
      <c r="O10">
        <v>0</v>
      </c>
      <c r="P10">
        <v>9.84</v>
      </c>
      <c r="Q10">
        <v>0</v>
      </c>
      <c r="R10">
        <v>0</v>
      </c>
      <c r="S10" s="1">
        <f t="shared" si="0"/>
        <v>1</v>
      </c>
      <c r="T10">
        <f t="shared" si="1"/>
        <v>10000</v>
      </c>
      <c r="U10">
        <f t="shared" si="2"/>
        <v>-9.84</v>
      </c>
      <c r="V10" t="str">
        <f t="shared" si="3"/>
        <v/>
      </c>
    </row>
    <row r="11" spans="1:25" x14ac:dyDescent="0.2">
      <c r="A11" t="s">
        <v>32</v>
      </c>
      <c r="D11">
        <v>0</v>
      </c>
      <c r="E11">
        <v>33.72999999999999</v>
      </c>
      <c r="L11" t="s">
        <v>32</v>
      </c>
      <c r="M11">
        <v>0</v>
      </c>
      <c r="N11">
        <v>8000</v>
      </c>
      <c r="O11">
        <v>0</v>
      </c>
      <c r="P11">
        <v>33.72999999999999</v>
      </c>
      <c r="Q11">
        <v>0</v>
      </c>
      <c r="R11">
        <v>0</v>
      </c>
      <c r="S11" s="1">
        <f t="shared" si="0"/>
        <v>1.8</v>
      </c>
      <c r="T11">
        <f t="shared" si="1"/>
        <v>18000</v>
      </c>
      <c r="U11">
        <f t="shared" si="2"/>
        <v>-33.72999999999999</v>
      </c>
      <c r="V11" t="str">
        <f t="shared" si="3"/>
        <v/>
      </c>
    </row>
    <row r="12" spans="1:25" x14ac:dyDescent="0.2">
      <c r="A12" t="s">
        <v>33</v>
      </c>
      <c r="D12">
        <v>0</v>
      </c>
      <c r="E12">
        <v>27.95999999999999</v>
      </c>
      <c r="L12" t="s">
        <v>33</v>
      </c>
      <c r="M12">
        <v>0</v>
      </c>
      <c r="N12">
        <v>0</v>
      </c>
      <c r="O12">
        <v>0</v>
      </c>
      <c r="P12">
        <v>27.95999999999999</v>
      </c>
      <c r="Q12">
        <v>0</v>
      </c>
      <c r="R12">
        <v>0</v>
      </c>
      <c r="S12" s="1">
        <f t="shared" si="0"/>
        <v>1.8</v>
      </c>
      <c r="T12">
        <f t="shared" si="1"/>
        <v>18000</v>
      </c>
      <c r="U12">
        <f t="shared" si="2"/>
        <v>-27.95999999999999</v>
      </c>
      <c r="V12" t="str">
        <f t="shared" si="3"/>
        <v/>
      </c>
    </row>
    <row r="13" spans="1:25" x14ac:dyDescent="0.2">
      <c r="A13" t="s">
        <v>34</v>
      </c>
      <c r="D13">
        <v>0</v>
      </c>
      <c r="E13">
        <v>9.6300000000000026</v>
      </c>
      <c r="L13" t="s">
        <v>34</v>
      </c>
      <c r="M13">
        <v>8000</v>
      </c>
      <c r="N13">
        <v>0</v>
      </c>
      <c r="O13">
        <v>0</v>
      </c>
      <c r="P13">
        <v>9.6300000000000026</v>
      </c>
      <c r="Q13">
        <v>0</v>
      </c>
      <c r="R13">
        <v>0</v>
      </c>
      <c r="S13" s="1">
        <f t="shared" si="0"/>
        <v>1</v>
      </c>
      <c r="T13">
        <f t="shared" si="1"/>
        <v>10000</v>
      </c>
      <c r="U13">
        <f t="shared" si="2"/>
        <v>-9.6300000000000026</v>
      </c>
      <c r="V13" t="str">
        <f t="shared" si="3"/>
        <v/>
      </c>
    </row>
    <row r="14" spans="1:25" x14ac:dyDescent="0.2">
      <c r="A14" t="s">
        <v>35</v>
      </c>
      <c r="D14">
        <v>0</v>
      </c>
      <c r="E14">
        <v>9.4600000000000009</v>
      </c>
      <c r="L14" t="s">
        <v>35</v>
      </c>
      <c r="M14">
        <v>0</v>
      </c>
      <c r="N14">
        <v>8000</v>
      </c>
      <c r="O14">
        <v>0</v>
      </c>
      <c r="P14">
        <v>9.4600000000000009</v>
      </c>
      <c r="Q14">
        <v>0</v>
      </c>
      <c r="R14">
        <v>0</v>
      </c>
      <c r="S14" s="1">
        <f t="shared" si="0"/>
        <v>1.8</v>
      </c>
      <c r="T14">
        <f t="shared" si="1"/>
        <v>18000</v>
      </c>
      <c r="U14">
        <f t="shared" si="2"/>
        <v>-9.4600000000000009</v>
      </c>
      <c r="V14" t="str">
        <f t="shared" si="3"/>
        <v/>
      </c>
    </row>
    <row r="15" spans="1:25" x14ac:dyDescent="0.2">
      <c r="A15" t="s">
        <v>36</v>
      </c>
      <c r="D15">
        <v>0</v>
      </c>
      <c r="E15">
        <v>9.42</v>
      </c>
      <c r="L15" t="s">
        <v>36</v>
      </c>
      <c r="M15">
        <v>0</v>
      </c>
      <c r="N15">
        <v>0</v>
      </c>
      <c r="O15">
        <v>0</v>
      </c>
      <c r="P15">
        <v>9.42</v>
      </c>
      <c r="Q15">
        <v>0</v>
      </c>
      <c r="R15">
        <v>0</v>
      </c>
      <c r="S15" s="1">
        <f t="shared" si="0"/>
        <v>1.8</v>
      </c>
      <c r="T15">
        <f t="shared" si="1"/>
        <v>18000</v>
      </c>
      <c r="U15">
        <f t="shared" si="2"/>
        <v>-9.42</v>
      </c>
      <c r="V15" t="str">
        <f t="shared" si="3"/>
        <v/>
      </c>
    </row>
    <row r="16" spans="1:25" x14ac:dyDescent="0.2">
      <c r="A16" t="s">
        <v>37</v>
      </c>
      <c r="D16">
        <v>0</v>
      </c>
      <c r="E16">
        <v>9.48</v>
      </c>
      <c r="L16" t="s">
        <v>37</v>
      </c>
      <c r="M16">
        <v>8000</v>
      </c>
      <c r="N16">
        <v>0</v>
      </c>
      <c r="O16">
        <v>0</v>
      </c>
      <c r="P16">
        <v>9.48</v>
      </c>
      <c r="Q16">
        <v>0</v>
      </c>
      <c r="R16">
        <v>0</v>
      </c>
      <c r="S16" s="1">
        <f t="shared" si="0"/>
        <v>1</v>
      </c>
      <c r="T16">
        <f t="shared" si="1"/>
        <v>10000</v>
      </c>
      <c r="U16">
        <f t="shared" si="2"/>
        <v>-9.48</v>
      </c>
      <c r="V16" t="str">
        <f t="shared" si="3"/>
        <v/>
      </c>
    </row>
    <row r="17" spans="1:22" x14ac:dyDescent="0.2">
      <c r="A17" t="s">
        <v>38</v>
      </c>
      <c r="D17">
        <v>0</v>
      </c>
      <c r="E17">
        <v>14.87</v>
      </c>
      <c r="L17" t="s">
        <v>38</v>
      </c>
      <c r="M17">
        <v>0</v>
      </c>
      <c r="N17">
        <v>8000</v>
      </c>
      <c r="O17">
        <v>0</v>
      </c>
      <c r="P17">
        <v>14.87</v>
      </c>
      <c r="Q17">
        <v>0</v>
      </c>
      <c r="R17">
        <v>0</v>
      </c>
      <c r="S17" s="1">
        <f t="shared" si="0"/>
        <v>1.8</v>
      </c>
      <c r="T17">
        <f t="shared" si="1"/>
        <v>18000</v>
      </c>
      <c r="U17">
        <f t="shared" si="2"/>
        <v>-14.87</v>
      </c>
      <c r="V17" t="str">
        <f t="shared" si="3"/>
        <v/>
      </c>
    </row>
    <row r="18" spans="1:22" x14ac:dyDescent="0.2">
      <c r="A18" t="s">
        <v>39</v>
      </c>
      <c r="D18">
        <v>0</v>
      </c>
      <c r="E18">
        <v>33.44</v>
      </c>
      <c r="L18" t="s">
        <v>39</v>
      </c>
      <c r="M18">
        <v>8000</v>
      </c>
      <c r="N18">
        <v>0</v>
      </c>
      <c r="O18">
        <v>0</v>
      </c>
      <c r="P18">
        <v>33.44</v>
      </c>
      <c r="Q18">
        <v>0</v>
      </c>
      <c r="R18">
        <v>0</v>
      </c>
      <c r="S18" s="1">
        <f t="shared" si="0"/>
        <v>1</v>
      </c>
      <c r="T18">
        <f t="shared" si="1"/>
        <v>10000</v>
      </c>
      <c r="U18">
        <f t="shared" si="2"/>
        <v>-33.44</v>
      </c>
      <c r="V18" t="str">
        <f t="shared" si="3"/>
        <v/>
      </c>
    </row>
    <row r="19" spans="1:22" x14ac:dyDescent="0.2">
      <c r="A19" t="s">
        <v>40</v>
      </c>
      <c r="D19">
        <v>0</v>
      </c>
      <c r="E19">
        <v>12.58</v>
      </c>
      <c r="L19" t="s">
        <v>40</v>
      </c>
      <c r="M19">
        <v>0</v>
      </c>
      <c r="N19">
        <v>0</v>
      </c>
      <c r="O19">
        <v>0</v>
      </c>
      <c r="P19">
        <v>12.58</v>
      </c>
      <c r="Q19">
        <v>0</v>
      </c>
      <c r="R19">
        <v>0</v>
      </c>
      <c r="S19" s="1">
        <f t="shared" si="0"/>
        <v>1</v>
      </c>
      <c r="T19">
        <f t="shared" si="1"/>
        <v>10000</v>
      </c>
      <c r="U19">
        <f t="shared" si="2"/>
        <v>-12.58</v>
      </c>
      <c r="V19" t="str">
        <f t="shared" si="3"/>
        <v/>
      </c>
    </row>
    <row r="20" spans="1:22" x14ac:dyDescent="0.2">
      <c r="A20" t="s">
        <v>41</v>
      </c>
      <c r="D20">
        <v>0</v>
      </c>
      <c r="E20">
        <v>9.4099999999999984</v>
      </c>
      <c r="L20" t="s">
        <v>41</v>
      </c>
      <c r="M20">
        <v>0</v>
      </c>
      <c r="N20">
        <v>0</v>
      </c>
      <c r="O20">
        <v>0</v>
      </c>
      <c r="P20">
        <v>9.4099999999999984</v>
      </c>
      <c r="Q20">
        <v>0</v>
      </c>
      <c r="R20">
        <v>0</v>
      </c>
      <c r="S20" s="1">
        <f t="shared" si="0"/>
        <v>1</v>
      </c>
      <c r="T20">
        <f t="shared" si="1"/>
        <v>10000</v>
      </c>
      <c r="U20">
        <f t="shared" si="2"/>
        <v>-9.4099999999999984</v>
      </c>
      <c r="V20" t="str">
        <f t="shared" si="3"/>
        <v/>
      </c>
    </row>
    <row r="21" spans="1:22" x14ac:dyDescent="0.2">
      <c r="A21" t="s">
        <v>42</v>
      </c>
      <c r="D21">
        <v>0</v>
      </c>
      <c r="E21">
        <v>9.7100000000000009</v>
      </c>
      <c r="L21" t="s">
        <v>42</v>
      </c>
      <c r="M21">
        <v>0</v>
      </c>
      <c r="N21">
        <v>8000</v>
      </c>
      <c r="O21">
        <v>0</v>
      </c>
      <c r="P21">
        <v>9.7100000000000009</v>
      </c>
      <c r="Q21">
        <v>0</v>
      </c>
      <c r="R21">
        <v>0</v>
      </c>
      <c r="S21" s="1">
        <f t="shared" si="0"/>
        <v>1.8</v>
      </c>
      <c r="T21">
        <f t="shared" si="1"/>
        <v>18000</v>
      </c>
      <c r="U21">
        <f t="shared" si="2"/>
        <v>-9.7100000000000009</v>
      </c>
      <c r="V21" t="str">
        <f t="shared" si="3"/>
        <v/>
      </c>
    </row>
    <row r="22" spans="1:22" x14ac:dyDescent="0.2">
      <c r="A22" t="s">
        <v>43</v>
      </c>
      <c r="D22">
        <v>0</v>
      </c>
      <c r="E22">
        <v>9.7700000000000014</v>
      </c>
      <c r="L22" t="s">
        <v>43</v>
      </c>
      <c r="M22">
        <v>8000</v>
      </c>
      <c r="N22">
        <v>0</v>
      </c>
      <c r="O22">
        <v>0</v>
      </c>
      <c r="P22">
        <v>9.7700000000000014</v>
      </c>
      <c r="Q22">
        <v>0</v>
      </c>
      <c r="R22">
        <v>0</v>
      </c>
      <c r="S22" s="1">
        <f t="shared" si="0"/>
        <v>1</v>
      </c>
      <c r="T22">
        <f t="shared" si="1"/>
        <v>10000</v>
      </c>
      <c r="U22">
        <f t="shared" si="2"/>
        <v>-9.7700000000000014</v>
      </c>
      <c r="V22" t="str">
        <f t="shared" si="3"/>
        <v/>
      </c>
    </row>
    <row r="23" spans="1:22" x14ac:dyDescent="0.2">
      <c r="A23" t="s">
        <v>44</v>
      </c>
      <c r="D23">
        <v>0</v>
      </c>
      <c r="E23">
        <v>9.9300000000000015</v>
      </c>
      <c r="L23" t="s">
        <v>44</v>
      </c>
      <c r="M23">
        <v>0</v>
      </c>
      <c r="N23">
        <v>8000</v>
      </c>
      <c r="O23">
        <v>0</v>
      </c>
      <c r="P23">
        <v>9.9300000000000015</v>
      </c>
      <c r="Q23">
        <v>0</v>
      </c>
      <c r="R23">
        <v>0</v>
      </c>
      <c r="S23" s="1">
        <f t="shared" si="0"/>
        <v>1.8</v>
      </c>
      <c r="T23">
        <f t="shared" si="1"/>
        <v>18000</v>
      </c>
      <c r="U23">
        <f t="shared" si="2"/>
        <v>-9.9300000000000015</v>
      </c>
      <c r="V23" t="str">
        <f t="shared" si="3"/>
        <v/>
      </c>
    </row>
    <row r="24" spans="1:22" x14ac:dyDescent="0.2">
      <c r="A24" t="s">
        <v>45</v>
      </c>
      <c r="D24">
        <v>0</v>
      </c>
      <c r="E24">
        <v>23.94</v>
      </c>
      <c r="L24" t="s">
        <v>45</v>
      </c>
      <c r="M24">
        <v>8000</v>
      </c>
      <c r="N24">
        <v>0</v>
      </c>
      <c r="O24">
        <v>0</v>
      </c>
      <c r="P24">
        <v>23.94</v>
      </c>
      <c r="Q24">
        <v>0</v>
      </c>
      <c r="R24">
        <v>0</v>
      </c>
      <c r="S24" s="1">
        <f t="shared" si="0"/>
        <v>1</v>
      </c>
      <c r="T24">
        <f t="shared" si="1"/>
        <v>10000</v>
      </c>
      <c r="U24">
        <f t="shared" si="2"/>
        <v>-23.94</v>
      </c>
      <c r="V24" t="str">
        <f t="shared" si="3"/>
        <v/>
      </c>
    </row>
    <row r="25" spans="1:22" x14ac:dyDescent="0.2">
      <c r="A25" t="s">
        <v>46</v>
      </c>
      <c r="D25">
        <v>0</v>
      </c>
      <c r="E25">
        <v>29.24</v>
      </c>
      <c r="L25" t="s">
        <v>46</v>
      </c>
      <c r="M25">
        <v>0</v>
      </c>
      <c r="N25">
        <v>8000</v>
      </c>
      <c r="O25">
        <v>0</v>
      </c>
      <c r="P25">
        <v>29.24</v>
      </c>
      <c r="Q25">
        <v>0</v>
      </c>
      <c r="R25">
        <v>0</v>
      </c>
      <c r="S25" s="1">
        <f t="shared" si="0"/>
        <v>1.8</v>
      </c>
      <c r="T25">
        <f t="shared" si="1"/>
        <v>18000</v>
      </c>
      <c r="U25">
        <f t="shared" si="2"/>
        <v>-29.24</v>
      </c>
      <c r="V25" t="str">
        <f t="shared" si="3"/>
        <v/>
      </c>
    </row>
    <row r="26" spans="1:22" x14ac:dyDescent="0.2">
      <c r="A26" t="s">
        <v>47</v>
      </c>
      <c r="D26">
        <v>0</v>
      </c>
      <c r="E26">
        <v>9.5000000000000018</v>
      </c>
      <c r="L26" t="s">
        <v>47</v>
      </c>
      <c r="M26">
        <v>8000</v>
      </c>
      <c r="N26">
        <v>0</v>
      </c>
      <c r="O26">
        <v>0</v>
      </c>
      <c r="P26">
        <v>9.5000000000000018</v>
      </c>
      <c r="Q26">
        <v>0</v>
      </c>
      <c r="R26">
        <v>0</v>
      </c>
      <c r="S26" s="1">
        <f t="shared" si="0"/>
        <v>1</v>
      </c>
      <c r="T26">
        <f t="shared" si="1"/>
        <v>10000</v>
      </c>
      <c r="U26">
        <f t="shared" si="2"/>
        <v>-9.5000000000000018</v>
      </c>
      <c r="V26" t="str">
        <f t="shared" si="3"/>
        <v/>
      </c>
    </row>
    <row r="27" spans="1:22" x14ac:dyDescent="0.2">
      <c r="A27" t="s">
        <v>48</v>
      </c>
      <c r="D27">
        <v>0</v>
      </c>
      <c r="E27">
        <v>9.5300000000000011</v>
      </c>
      <c r="L27" t="s">
        <v>48</v>
      </c>
      <c r="M27">
        <v>0</v>
      </c>
      <c r="N27">
        <v>8000</v>
      </c>
      <c r="O27">
        <v>0</v>
      </c>
      <c r="P27">
        <v>9.5300000000000011</v>
      </c>
      <c r="Q27">
        <v>0</v>
      </c>
      <c r="R27">
        <v>0</v>
      </c>
      <c r="S27" s="1">
        <f t="shared" si="0"/>
        <v>1.8</v>
      </c>
      <c r="T27">
        <f t="shared" si="1"/>
        <v>18000</v>
      </c>
      <c r="U27">
        <f t="shared" si="2"/>
        <v>-9.5300000000000011</v>
      </c>
      <c r="V27" t="str">
        <f t="shared" si="3"/>
        <v/>
      </c>
    </row>
    <row r="28" spans="1:22" x14ac:dyDescent="0.2">
      <c r="A28" t="s">
        <v>49</v>
      </c>
      <c r="D28">
        <v>0</v>
      </c>
      <c r="E28">
        <v>9.490000000000002</v>
      </c>
      <c r="L28" t="s">
        <v>49</v>
      </c>
      <c r="M28">
        <v>8000</v>
      </c>
      <c r="N28">
        <v>0</v>
      </c>
      <c r="O28">
        <v>0</v>
      </c>
      <c r="P28">
        <v>9.490000000000002</v>
      </c>
      <c r="Q28">
        <v>0</v>
      </c>
      <c r="R28">
        <v>0</v>
      </c>
      <c r="S28" s="1">
        <f t="shared" si="0"/>
        <v>1</v>
      </c>
      <c r="T28">
        <f t="shared" si="1"/>
        <v>10000</v>
      </c>
      <c r="U28">
        <f t="shared" si="2"/>
        <v>-9.490000000000002</v>
      </c>
      <c r="V28" t="str">
        <f t="shared" si="3"/>
        <v/>
      </c>
    </row>
    <row r="29" spans="1:22" x14ac:dyDescent="0.2">
      <c r="A29" t="s">
        <v>50</v>
      </c>
      <c r="D29">
        <v>0</v>
      </c>
      <c r="E29">
        <v>9.5000000000000018</v>
      </c>
      <c r="L29" t="s">
        <v>50</v>
      </c>
      <c r="M29">
        <v>0</v>
      </c>
      <c r="N29">
        <v>8000</v>
      </c>
      <c r="O29">
        <v>0</v>
      </c>
      <c r="P29">
        <v>9.5000000000000018</v>
      </c>
      <c r="Q29">
        <v>0</v>
      </c>
      <c r="R29">
        <v>0</v>
      </c>
      <c r="S29" s="1">
        <f t="shared" si="0"/>
        <v>1.8</v>
      </c>
      <c r="T29">
        <f t="shared" si="1"/>
        <v>18000</v>
      </c>
      <c r="U29">
        <f t="shared" si="2"/>
        <v>-9.5000000000000018</v>
      </c>
      <c r="V29" t="str">
        <f t="shared" si="3"/>
        <v/>
      </c>
    </row>
    <row r="30" spans="1:22" x14ac:dyDescent="0.2">
      <c r="A30" t="s">
        <v>51</v>
      </c>
      <c r="D30">
        <v>0</v>
      </c>
      <c r="E30">
        <v>9.4400000000000013</v>
      </c>
      <c r="L30" t="s">
        <v>51</v>
      </c>
      <c r="M30">
        <v>8000</v>
      </c>
      <c r="N30">
        <v>0</v>
      </c>
      <c r="O30">
        <v>0</v>
      </c>
      <c r="P30">
        <v>9.4400000000000013</v>
      </c>
      <c r="Q30">
        <v>0</v>
      </c>
      <c r="R30">
        <v>0</v>
      </c>
      <c r="S30" s="1">
        <f t="shared" si="0"/>
        <v>1</v>
      </c>
      <c r="T30">
        <f t="shared" si="1"/>
        <v>10000</v>
      </c>
      <c r="U30">
        <f t="shared" si="2"/>
        <v>-9.4400000000000013</v>
      </c>
      <c r="V30" t="str">
        <f t="shared" si="3"/>
        <v/>
      </c>
    </row>
    <row r="31" spans="1:22" x14ac:dyDescent="0.2">
      <c r="A31" t="s">
        <v>52</v>
      </c>
      <c r="D31">
        <v>0</v>
      </c>
      <c r="E31">
        <v>26.66</v>
      </c>
      <c r="L31" t="s">
        <v>52</v>
      </c>
      <c r="M31">
        <v>0</v>
      </c>
      <c r="N31">
        <v>0</v>
      </c>
      <c r="O31">
        <v>0</v>
      </c>
      <c r="P31">
        <v>26.66</v>
      </c>
      <c r="Q31">
        <v>0</v>
      </c>
      <c r="R31">
        <v>0</v>
      </c>
      <c r="S31" s="1">
        <f t="shared" si="0"/>
        <v>1</v>
      </c>
      <c r="T31">
        <f t="shared" si="1"/>
        <v>10000</v>
      </c>
      <c r="U31">
        <f t="shared" si="2"/>
        <v>-26.66</v>
      </c>
      <c r="V31" t="str">
        <f t="shared" si="3"/>
        <v/>
      </c>
    </row>
    <row r="32" spans="1:22" x14ac:dyDescent="0.2">
      <c r="A32" t="s">
        <v>53</v>
      </c>
      <c r="D32">
        <v>0</v>
      </c>
      <c r="E32">
        <v>25.47</v>
      </c>
      <c r="L32" t="s">
        <v>53</v>
      </c>
      <c r="M32">
        <v>0</v>
      </c>
      <c r="N32">
        <v>8000</v>
      </c>
      <c r="O32">
        <v>0</v>
      </c>
      <c r="P32">
        <v>25.47</v>
      </c>
      <c r="Q32">
        <v>0</v>
      </c>
      <c r="R32">
        <v>0</v>
      </c>
      <c r="S32" s="1">
        <f t="shared" si="0"/>
        <v>1.8</v>
      </c>
      <c r="T32">
        <f t="shared" si="1"/>
        <v>18000</v>
      </c>
      <c r="U32">
        <f t="shared" si="2"/>
        <v>-25.47</v>
      </c>
      <c r="V32" t="str">
        <f t="shared" si="3"/>
        <v/>
      </c>
    </row>
    <row r="33" spans="1:22" x14ac:dyDescent="0.2">
      <c r="A33" t="s">
        <v>54</v>
      </c>
      <c r="D33">
        <v>0</v>
      </c>
      <c r="E33">
        <v>9.4100000000000019</v>
      </c>
      <c r="L33" t="s">
        <v>54</v>
      </c>
      <c r="M33">
        <v>8000</v>
      </c>
      <c r="N33">
        <v>0</v>
      </c>
      <c r="O33">
        <v>0</v>
      </c>
      <c r="P33">
        <v>9.4100000000000019</v>
      </c>
      <c r="Q33">
        <v>0</v>
      </c>
      <c r="R33">
        <v>0</v>
      </c>
      <c r="S33" s="1">
        <f t="shared" si="0"/>
        <v>1</v>
      </c>
      <c r="T33">
        <f t="shared" si="1"/>
        <v>10000</v>
      </c>
      <c r="U33">
        <f t="shared" si="2"/>
        <v>-9.4100000000000019</v>
      </c>
      <c r="V33" t="str">
        <f t="shared" si="3"/>
        <v/>
      </c>
    </row>
    <row r="34" spans="1:22" x14ac:dyDescent="0.2">
      <c r="A34" t="s">
        <v>55</v>
      </c>
      <c r="D34">
        <v>0</v>
      </c>
      <c r="E34">
        <v>9.3600000000000012</v>
      </c>
      <c r="L34" t="s">
        <v>55</v>
      </c>
      <c r="M34">
        <v>0</v>
      </c>
      <c r="N34">
        <v>8000</v>
      </c>
      <c r="O34">
        <v>0</v>
      </c>
      <c r="P34">
        <v>9.3600000000000012</v>
      </c>
      <c r="Q34">
        <v>0</v>
      </c>
      <c r="R34">
        <v>0</v>
      </c>
      <c r="S34" s="1">
        <f t="shared" si="0"/>
        <v>1.8</v>
      </c>
      <c r="T34">
        <f t="shared" si="1"/>
        <v>18000</v>
      </c>
      <c r="U34">
        <f t="shared" si="2"/>
        <v>-9.3600000000000012</v>
      </c>
      <c r="V34" t="str">
        <f t="shared" si="3"/>
        <v/>
      </c>
    </row>
    <row r="35" spans="1:22" x14ac:dyDescent="0.2">
      <c r="A35" t="s">
        <v>56</v>
      </c>
      <c r="D35">
        <v>7.0000000000000007E-2</v>
      </c>
      <c r="E35">
        <v>11.17</v>
      </c>
      <c r="L35" t="s">
        <v>56</v>
      </c>
      <c r="M35">
        <v>8000</v>
      </c>
      <c r="N35">
        <v>0</v>
      </c>
      <c r="O35">
        <v>7.0000000000000007E-2</v>
      </c>
      <c r="P35">
        <v>11.17</v>
      </c>
      <c r="Q35">
        <v>0</v>
      </c>
      <c r="R35">
        <v>0</v>
      </c>
      <c r="S35" s="1">
        <f t="shared" ref="S35:S66" si="4">T35/W$1</f>
        <v>1</v>
      </c>
      <c r="T35">
        <f t="shared" si="1"/>
        <v>10000</v>
      </c>
      <c r="U35">
        <f t="shared" si="2"/>
        <v>-11.1</v>
      </c>
      <c r="V35" t="str">
        <f t="shared" si="3"/>
        <v/>
      </c>
    </row>
    <row r="36" spans="1:22" x14ac:dyDescent="0.2">
      <c r="A36" t="s">
        <v>57</v>
      </c>
      <c r="D36">
        <v>0.65</v>
      </c>
      <c r="E36">
        <v>11.16</v>
      </c>
      <c r="L36" t="s">
        <v>57</v>
      </c>
      <c r="M36">
        <v>0</v>
      </c>
      <c r="N36">
        <v>8000</v>
      </c>
      <c r="O36">
        <v>0.65</v>
      </c>
      <c r="P36">
        <v>11.16</v>
      </c>
      <c r="Q36">
        <v>0</v>
      </c>
      <c r="R36">
        <v>0</v>
      </c>
      <c r="S36" s="1">
        <f t="shared" si="4"/>
        <v>1.8</v>
      </c>
      <c r="T36">
        <f t="shared" ref="T36:T67" si="5">T35-M36+N36</f>
        <v>18000</v>
      </c>
      <c r="U36">
        <f t="shared" si="2"/>
        <v>-10.51</v>
      </c>
      <c r="V36" t="str">
        <f t="shared" si="3"/>
        <v/>
      </c>
    </row>
    <row r="37" spans="1:22" x14ac:dyDescent="0.2">
      <c r="A37" t="s">
        <v>58</v>
      </c>
      <c r="D37">
        <v>6.29</v>
      </c>
      <c r="E37">
        <v>11.22</v>
      </c>
      <c r="L37" t="s">
        <v>58</v>
      </c>
      <c r="M37">
        <v>8000</v>
      </c>
      <c r="N37">
        <v>0</v>
      </c>
      <c r="O37">
        <v>6.29</v>
      </c>
      <c r="P37">
        <v>11.22</v>
      </c>
      <c r="Q37">
        <v>0</v>
      </c>
      <c r="R37">
        <v>0</v>
      </c>
      <c r="S37" s="1">
        <f t="shared" si="4"/>
        <v>1</v>
      </c>
      <c r="T37">
        <f t="shared" si="5"/>
        <v>10000</v>
      </c>
      <c r="U37">
        <f t="shared" si="2"/>
        <v>-4.9300000000000006</v>
      </c>
      <c r="V37" t="str">
        <f t="shared" si="3"/>
        <v/>
      </c>
    </row>
    <row r="38" spans="1:22" x14ac:dyDescent="0.2">
      <c r="A38" t="s">
        <v>59</v>
      </c>
      <c r="D38">
        <v>14.07</v>
      </c>
      <c r="E38">
        <v>30.27</v>
      </c>
      <c r="L38" t="s">
        <v>59</v>
      </c>
      <c r="M38">
        <v>0</v>
      </c>
      <c r="N38">
        <v>0</v>
      </c>
      <c r="O38">
        <v>14.07</v>
      </c>
      <c r="P38">
        <v>30.27</v>
      </c>
      <c r="Q38">
        <v>0</v>
      </c>
      <c r="R38">
        <v>0</v>
      </c>
      <c r="S38" s="1">
        <f t="shared" si="4"/>
        <v>1</v>
      </c>
      <c r="T38">
        <f t="shared" si="5"/>
        <v>10000</v>
      </c>
      <c r="U38">
        <f t="shared" si="2"/>
        <v>-16.2</v>
      </c>
      <c r="V38" t="str">
        <f t="shared" si="3"/>
        <v/>
      </c>
    </row>
    <row r="39" spans="1:22" x14ac:dyDescent="0.2">
      <c r="A39" t="s">
        <v>60</v>
      </c>
      <c r="D39">
        <v>24.36</v>
      </c>
      <c r="E39">
        <v>24.47</v>
      </c>
      <c r="L39" t="s">
        <v>60</v>
      </c>
      <c r="M39">
        <v>0</v>
      </c>
      <c r="N39">
        <v>8000</v>
      </c>
      <c r="O39">
        <v>24.36</v>
      </c>
      <c r="P39">
        <v>24.47</v>
      </c>
      <c r="Q39">
        <v>0</v>
      </c>
      <c r="R39">
        <v>0</v>
      </c>
      <c r="S39" s="1">
        <f t="shared" si="4"/>
        <v>1.8</v>
      </c>
      <c r="T39">
        <f t="shared" si="5"/>
        <v>18000</v>
      </c>
      <c r="U39">
        <f t="shared" si="2"/>
        <v>-0.10999999999999943</v>
      </c>
      <c r="V39" t="str">
        <f t="shared" si="3"/>
        <v/>
      </c>
    </row>
    <row r="40" spans="1:22" x14ac:dyDescent="0.2">
      <c r="A40" t="s">
        <v>61</v>
      </c>
      <c r="D40">
        <v>27.63</v>
      </c>
      <c r="E40">
        <v>183.41</v>
      </c>
      <c r="L40" t="s">
        <v>61</v>
      </c>
      <c r="M40">
        <v>155.78</v>
      </c>
      <c r="N40">
        <v>0</v>
      </c>
      <c r="O40">
        <v>27.63</v>
      </c>
      <c r="P40">
        <v>183.41</v>
      </c>
      <c r="Q40">
        <v>0</v>
      </c>
      <c r="R40">
        <v>0</v>
      </c>
      <c r="S40" s="1">
        <f t="shared" si="4"/>
        <v>1.7844220000000002</v>
      </c>
      <c r="T40">
        <f t="shared" si="5"/>
        <v>17844.22</v>
      </c>
      <c r="U40">
        <f t="shared" si="2"/>
        <v>-155.78</v>
      </c>
      <c r="V40" t="str">
        <f t="shared" si="3"/>
        <v/>
      </c>
    </row>
    <row r="41" spans="1:22" x14ac:dyDescent="0.2">
      <c r="A41" t="s">
        <v>62</v>
      </c>
      <c r="D41">
        <v>24.14</v>
      </c>
      <c r="E41">
        <v>45.640000000000008</v>
      </c>
      <c r="L41" t="s">
        <v>62</v>
      </c>
      <c r="M41">
        <v>7764.75</v>
      </c>
      <c r="N41">
        <v>0</v>
      </c>
      <c r="O41">
        <v>24.14</v>
      </c>
      <c r="P41">
        <v>45.640000000000008</v>
      </c>
      <c r="Q41">
        <v>0</v>
      </c>
      <c r="R41">
        <v>0</v>
      </c>
      <c r="S41" s="1">
        <f t="shared" si="4"/>
        <v>1.0079470000000001</v>
      </c>
      <c r="T41">
        <f t="shared" si="5"/>
        <v>10079.470000000001</v>
      </c>
      <c r="U41">
        <f t="shared" si="2"/>
        <v>-21.500000000000007</v>
      </c>
      <c r="V41" t="str">
        <f t="shared" si="3"/>
        <v/>
      </c>
    </row>
    <row r="42" spans="1:22" x14ac:dyDescent="0.2">
      <c r="A42" t="s">
        <v>63</v>
      </c>
      <c r="D42">
        <v>37.369999999999997</v>
      </c>
      <c r="E42">
        <v>25.1</v>
      </c>
      <c r="L42" t="s">
        <v>63</v>
      </c>
      <c r="M42">
        <v>0</v>
      </c>
      <c r="N42">
        <v>12.27</v>
      </c>
      <c r="O42">
        <v>37.369999999999997</v>
      </c>
      <c r="P42">
        <v>25.1</v>
      </c>
      <c r="Q42">
        <v>0</v>
      </c>
      <c r="R42">
        <v>0</v>
      </c>
      <c r="S42" s="1">
        <f t="shared" si="4"/>
        <v>1.0091740000000002</v>
      </c>
      <c r="T42">
        <f t="shared" si="5"/>
        <v>10091.740000000002</v>
      </c>
      <c r="U42">
        <f t="shared" si="2"/>
        <v>12.269999999999996</v>
      </c>
      <c r="V42">
        <f t="shared" si="3"/>
        <v>12.269999999999996</v>
      </c>
    </row>
    <row r="43" spans="1:22" x14ac:dyDescent="0.2">
      <c r="A43" t="s">
        <v>64</v>
      </c>
      <c r="D43">
        <v>48.289999999999992</v>
      </c>
      <c r="E43">
        <v>140.03</v>
      </c>
      <c r="L43" t="s">
        <v>64</v>
      </c>
      <c r="M43">
        <v>91.74</v>
      </c>
      <c r="N43">
        <v>0</v>
      </c>
      <c r="O43">
        <v>48.289999999999992</v>
      </c>
      <c r="P43">
        <v>140.03</v>
      </c>
      <c r="Q43">
        <v>0</v>
      </c>
      <c r="R43">
        <v>0</v>
      </c>
      <c r="S43" s="1">
        <f t="shared" si="4"/>
        <v>1.0000000000000002</v>
      </c>
      <c r="T43">
        <f t="shared" si="5"/>
        <v>10000.000000000002</v>
      </c>
      <c r="U43">
        <f t="shared" si="2"/>
        <v>-91.740000000000009</v>
      </c>
      <c r="V43" t="str">
        <f t="shared" si="3"/>
        <v/>
      </c>
    </row>
    <row r="44" spans="1:22" x14ac:dyDescent="0.2">
      <c r="A44" t="s">
        <v>65</v>
      </c>
      <c r="D44">
        <v>51.33</v>
      </c>
      <c r="E44">
        <v>28.31</v>
      </c>
      <c r="L44" t="s">
        <v>65</v>
      </c>
      <c r="M44">
        <v>0</v>
      </c>
      <c r="N44">
        <v>23.02</v>
      </c>
      <c r="O44">
        <v>51.33</v>
      </c>
      <c r="P44">
        <v>28.31</v>
      </c>
      <c r="Q44">
        <v>0</v>
      </c>
      <c r="R44">
        <v>0</v>
      </c>
      <c r="S44" s="1">
        <f t="shared" si="4"/>
        <v>1.0023020000000002</v>
      </c>
      <c r="T44">
        <f t="shared" si="5"/>
        <v>10023.020000000002</v>
      </c>
      <c r="U44">
        <f t="shared" si="2"/>
        <v>23.02</v>
      </c>
      <c r="V44">
        <f t="shared" si="3"/>
        <v>23.02</v>
      </c>
    </row>
    <row r="45" spans="1:22" x14ac:dyDescent="0.2">
      <c r="A45" t="s">
        <v>66</v>
      </c>
      <c r="D45">
        <v>140.36000000000001</v>
      </c>
      <c r="E45">
        <v>23.78</v>
      </c>
      <c r="L45" t="s">
        <v>66</v>
      </c>
      <c r="M45">
        <v>23.02</v>
      </c>
      <c r="N45">
        <v>0</v>
      </c>
      <c r="O45">
        <v>140.36000000000001</v>
      </c>
      <c r="P45">
        <v>23.78</v>
      </c>
      <c r="Q45">
        <v>0</v>
      </c>
      <c r="R45">
        <v>0</v>
      </c>
      <c r="S45" s="1">
        <f t="shared" si="4"/>
        <v>1.0000000000000002</v>
      </c>
      <c r="T45">
        <f t="shared" si="5"/>
        <v>10000.000000000002</v>
      </c>
      <c r="U45">
        <f t="shared" si="2"/>
        <v>116.58000000000001</v>
      </c>
      <c r="V45">
        <f t="shared" si="3"/>
        <v>116.58000000000001</v>
      </c>
    </row>
    <row r="46" spans="1:22" x14ac:dyDescent="0.2">
      <c r="A46" t="s">
        <v>67</v>
      </c>
      <c r="D46">
        <v>166.61</v>
      </c>
      <c r="E46">
        <v>9.2799999999999994</v>
      </c>
      <c r="L46" t="s">
        <v>67</v>
      </c>
      <c r="M46">
        <v>0</v>
      </c>
      <c r="N46">
        <v>8000</v>
      </c>
      <c r="O46">
        <v>166.61</v>
      </c>
      <c r="P46">
        <v>9.2799999999999994</v>
      </c>
      <c r="Q46">
        <v>0</v>
      </c>
      <c r="R46">
        <v>0</v>
      </c>
      <c r="S46" s="1">
        <f t="shared" si="4"/>
        <v>1.8</v>
      </c>
      <c r="T46">
        <f t="shared" si="5"/>
        <v>18000</v>
      </c>
      <c r="U46">
        <f t="shared" si="2"/>
        <v>157.33000000000001</v>
      </c>
      <c r="V46">
        <f t="shared" si="3"/>
        <v>157.33000000000001</v>
      </c>
    </row>
    <row r="47" spans="1:22" x14ac:dyDescent="0.2">
      <c r="A47" t="s">
        <v>68</v>
      </c>
      <c r="D47">
        <v>154.58000000000001</v>
      </c>
      <c r="E47">
        <v>7.8699999999999992</v>
      </c>
      <c r="L47" t="s">
        <v>68</v>
      </c>
      <c r="M47">
        <v>0</v>
      </c>
      <c r="N47">
        <v>0</v>
      </c>
      <c r="O47">
        <v>154.58000000000001</v>
      </c>
      <c r="P47">
        <v>7.8699999999999992</v>
      </c>
      <c r="Q47">
        <v>0</v>
      </c>
      <c r="R47">
        <v>0</v>
      </c>
      <c r="S47" s="1">
        <f t="shared" si="4"/>
        <v>1.8</v>
      </c>
      <c r="T47">
        <f t="shared" si="5"/>
        <v>18000</v>
      </c>
      <c r="U47">
        <f t="shared" si="2"/>
        <v>146.71</v>
      </c>
      <c r="V47">
        <f t="shared" si="3"/>
        <v>146.71</v>
      </c>
    </row>
    <row r="48" spans="1:22" x14ac:dyDescent="0.2">
      <c r="A48" t="s">
        <v>69</v>
      </c>
      <c r="D48">
        <v>155.13</v>
      </c>
      <c r="E48">
        <v>8.120000000000001</v>
      </c>
      <c r="L48" t="s">
        <v>69</v>
      </c>
      <c r="M48">
        <v>8000</v>
      </c>
      <c r="N48">
        <v>0</v>
      </c>
      <c r="O48">
        <v>155.13</v>
      </c>
      <c r="P48">
        <v>8.120000000000001</v>
      </c>
      <c r="Q48">
        <v>0</v>
      </c>
      <c r="R48">
        <v>0</v>
      </c>
      <c r="S48" s="1">
        <f t="shared" si="4"/>
        <v>1</v>
      </c>
      <c r="T48">
        <f t="shared" si="5"/>
        <v>10000</v>
      </c>
      <c r="U48">
        <f t="shared" si="2"/>
        <v>147.01</v>
      </c>
      <c r="V48">
        <f t="shared" si="3"/>
        <v>147.01</v>
      </c>
    </row>
    <row r="49" spans="1:22" x14ac:dyDescent="0.2">
      <c r="A49" t="s">
        <v>70</v>
      </c>
      <c r="D49">
        <v>171.16</v>
      </c>
      <c r="E49">
        <v>8.3000000000000007</v>
      </c>
      <c r="L49" t="s">
        <v>70</v>
      </c>
      <c r="M49">
        <v>0</v>
      </c>
      <c r="N49">
        <v>8000</v>
      </c>
      <c r="O49">
        <v>171.16</v>
      </c>
      <c r="P49">
        <v>8.3000000000000007</v>
      </c>
      <c r="Q49">
        <v>0</v>
      </c>
      <c r="R49">
        <v>0</v>
      </c>
      <c r="S49" s="1">
        <f t="shared" si="4"/>
        <v>1.8</v>
      </c>
      <c r="T49">
        <f t="shared" si="5"/>
        <v>18000</v>
      </c>
      <c r="U49">
        <f t="shared" si="2"/>
        <v>162.85999999999999</v>
      </c>
      <c r="V49">
        <f t="shared" si="3"/>
        <v>162.85999999999999</v>
      </c>
    </row>
    <row r="50" spans="1:22" x14ac:dyDescent="0.2">
      <c r="A50" t="s">
        <v>71</v>
      </c>
      <c r="D50">
        <v>191.87</v>
      </c>
      <c r="E50">
        <v>8</v>
      </c>
      <c r="L50" t="s">
        <v>71</v>
      </c>
      <c r="M50">
        <v>8000</v>
      </c>
      <c r="N50">
        <v>0</v>
      </c>
      <c r="O50">
        <v>191.87</v>
      </c>
      <c r="P50">
        <v>8</v>
      </c>
      <c r="Q50">
        <v>0</v>
      </c>
      <c r="R50">
        <v>0</v>
      </c>
      <c r="S50" s="1">
        <f t="shared" si="4"/>
        <v>1</v>
      </c>
      <c r="T50">
        <f t="shared" si="5"/>
        <v>10000</v>
      </c>
      <c r="U50">
        <f t="shared" si="2"/>
        <v>183.87</v>
      </c>
      <c r="V50">
        <f t="shared" si="3"/>
        <v>183.87</v>
      </c>
    </row>
    <row r="51" spans="1:22" x14ac:dyDescent="0.2">
      <c r="A51" t="s">
        <v>72</v>
      </c>
      <c r="D51">
        <v>175.33999999999989</v>
      </c>
      <c r="E51">
        <v>351.31</v>
      </c>
      <c r="L51" t="s">
        <v>72</v>
      </c>
      <c r="M51">
        <v>0</v>
      </c>
      <c r="N51">
        <v>0</v>
      </c>
      <c r="O51">
        <v>175.33999999999989</v>
      </c>
      <c r="P51">
        <v>351.31</v>
      </c>
      <c r="Q51">
        <v>0</v>
      </c>
      <c r="R51">
        <v>0</v>
      </c>
      <c r="S51" s="1">
        <f t="shared" si="4"/>
        <v>1</v>
      </c>
      <c r="T51">
        <f t="shared" si="5"/>
        <v>10000</v>
      </c>
      <c r="U51">
        <f t="shared" si="2"/>
        <v>-175.97000000000011</v>
      </c>
      <c r="V51" t="str">
        <f t="shared" si="3"/>
        <v/>
      </c>
    </row>
    <row r="52" spans="1:22" x14ac:dyDescent="0.2">
      <c r="A52" t="s">
        <v>73</v>
      </c>
      <c r="D52">
        <v>68.28</v>
      </c>
      <c r="E52">
        <v>870.25000000000011</v>
      </c>
      <c r="L52" t="s">
        <v>73</v>
      </c>
      <c r="M52">
        <v>0</v>
      </c>
      <c r="N52">
        <v>8000</v>
      </c>
      <c r="O52">
        <v>68.28</v>
      </c>
      <c r="P52">
        <v>870.25000000000011</v>
      </c>
      <c r="Q52">
        <v>0</v>
      </c>
      <c r="R52">
        <v>0</v>
      </c>
      <c r="S52" s="1">
        <f t="shared" si="4"/>
        <v>1.8</v>
      </c>
      <c r="T52">
        <f t="shared" si="5"/>
        <v>18000</v>
      </c>
      <c r="U52">
        <f t="shared" si="2"/>
        <v>-801.97000000000014</v>
      </c>
      <c r="V52" t="str">
        <f t="shared" si="3"/>
        <v/>
      </c>
    </row>
    <row r="53" spans="1:22" x14ac:dyDescent="0.2">
      <c r="A53" t="s">
        <v>74</v>
      </c>
      <c r="D53">
        <v>54.739999999999988</v>
      </c>
      <c r="E53">
        <v>157.15</v>
      </c>
      <c r="L53" t="s">
        <v>74</v>
      </c>
      <c r="M53">
        <v>102.41</v>
      </c>
      <c r="N53">
        <v>0</v>
      </c>
      <c r="O53">
        <v>54.739999999999988</v>
      </c>
      <c r="P53">
        <v>157.15</v>
      </c>
      <c r="Q53">
        <v>0</v>
      </c>
      <c r="R53">
        <v>0</v>
      </c>
      <c r="S53" s="1">
        <f t="shared" si="4"/>
        <v>1.7897590000000001</v>
      </c>
      <c r="T53">
        <f t="shared" si="5"/>
        <v>17897.59</v>
      </c>
      <c r="U53">
        <f t="shared" si="2"/>
        <v>-102.41000000000003</v>
      </c>
      <c r="V53" t="str">
        <f t="shared" si="3"/>
        <v/>
      </c>
    </row>
    <row r="54" spans="1:22" x14ac:dyDescent="0.2">
      <c r="A54" t="s">
        <v>75</v>
      </c>
      <c r="D54">
        <v>46.33</v>
      </c>
      <c r="E54">
        <v>57.25</v>
      </c>
      <c r="L54" t="s">
        <v>75</v>
      </c>
      <c r="M54">
        <v>7897.59</v>
      </c>
      <c r="N54">
        <v>0</v>
      </c>
      <c r="O54">
        <v>46.33</v>
      </c>
      <c r="P54">
        <v>57.25</v>
      </c>
      <c r="Q54">
        <v>0</v>
      </c>
      <c r="R54">
        <v>0</v>
      </c>
      <c r="S54" s="1">
        <f t="shared" si="4"/>
        <v>1</v>
      </c>
      <c r="T54">
        <f t="shared" si="5"/>
        <v>10000</v>
      </c>
      <c r="U54">
        <f t="shared" si="2"/>
        <v>-10.920000000000002</v>
      </c>
      <c r="V54" t="str">
        <f t="shared" si="3"/>
        <v/>
      </c>
    </row>
    <row r="55" spans="1:22" x14ac:dyDescent="0.2">
      <c r="A55" t="s">
        <v>76</v>
      </c>
      <c r="D55">
        <v>43.45</v>
      </c>
      <c r="E55">
        <v>9.19</v>
      </c>
      <c r="L55" s="2">
        <v>43831.59375</v>
      </c>
      <c r="M55">
        <v>0</v>
      </c>
      <c r="N55">
        <v>8000</v>
      </c>
      <c r="O55">
        <v>43.45</v>
      </c>
      <c r="P55">
        <v>9.19</v>
      </c>
      <c r="Q55">
        <v>0</v>
      </c>
      <c r="R55">
        <v>0</v>
      </c>
      <c r="S55" s="1">
        <f t="shared" si="4"/>
        <v>1.8</v>
      </c>
      <c r="T55">
        <f t="shared" si="5"/>
        <v>18000</v>
      </c>
      <c r="U55">
        <f t="shared" si="2"/>
        <v>34.260000000000005</v>
      </c>
      <c r="V55">
        <f t="shared" si="3"/>
        <v>34.260000000000005</v>
      </c>
    </row>
    <row r="56" spans="1:22" x14ac:dyDescent="0.2">
      <c r="A56" t="s">
        <v>77</v>
      </c>
      <c r="D56">
        <v>40.97</v>
      </c>
      <c r="E56">
        <v>30.6</v>
      </c>
      <c r="L56" t="s">
        <v>77</v>
      </c>
      <c r="M56">
        <v>0</v>
      </c>
      <c r="N56">
        <v>0</v>
      </c>
      <c r="O56">
        <v>40.97</v>
      </c>
      <c r="P56">
        <v>30.6</v>
      </c>
      <c r="Q56">
        <v>0</v>
      </c>
      <c r="R56">
        <v>0</v>
      </c>
      <c r="S56" s="1">
        <f t="shared" si="4"/>
        <v>1.8</v>
      </c>
      <c r="T56">
        <f t="shared" si="5"/>
        <v>18000</v>
      </c>
      <c r="U56">
        <f t="shared" si="2"/>
        <v>10.369999999999997</v>
      </c>
      <c r="V56">
        <f t="shared" si="3"/>
        <v>10.369999999999997</v>
      </c>
    </row>
    <row r="57" spans="1:22" x14ac:dyDescent="0.2">
      <c r="A57" t="s">
        <v>78</v>
      </c>
      <c r="D57">
        <v>38.230000000000011</v>
      </c>
      <c r="E57">
        <v>17.57</v>
      </c>
      <c r="L57" t="s">
        <v>78</v>
      </c>
      <c r="M57">
        <v>8000</v>
      </c>
      <c r="N57">
        <v>0</v>
      </c>
      <c r="O57">
        <v>38.230000000000011</v>
      </c>
      <c r="P57">
        <v>17.57</v>
      </c>
      <c r="Q57">
        <v>0</v>
      </c>
      <c r="R57">
        <v>0</v>
      </c>
      <c r="S57" s="1">
        <f t="shared" si="4"/>
        <v>1</v>
      </c>
      <c r="T57">
        <f t="shared" si="5"/>
        <v>10000</v>
      </c>
      <c r="U57">
        <f t="shared" si="2"/>
        <v>20.660000000000011</v>
      </c>
      <c r="V57">
        <f t="shared" si="3"/>
        <v>20.660000000000011</v>
      </c>
    </row>
    <row r="58" spans="1:22" x14ac:dyDescent="0.2">
      <c r="A58" t="s">
        <v>79</v>
      </c>
      <c r="D58">
        <v>8.31</v>
      </c>
      <c r="E58">
        <v>8.2200000000000006</v>
      </c>
      <c r="L58" t="s">
        <v>79</v>
      </c>
      <c r="M58">
        <v>0</v>
      </c>
      <c r="N58">
        <v>0</v>
      </c>
      <c r="O58">
        <v>8.31</v>
      </c>
      <c r="P58">
        <v>8.2200000000000006</v>
      </c>
      <c r="Q58">
        <v>0</v>
      </c>
      <c r="R58">
        <v>0</v>
      </c>
      <c r="S58" s="1">
        <f t="shared" si="4"/>
        <v>1</v>
      </c>
      <c r="T58">
        <f t="shared" si="5"/>
        <v>10000</v>
      </c>
      <c r="U58">
        <f t="shared" si="2"/>
        <v>8.9999999999999858E-2</v>
      </c>
      <c r="V58">
        <f t="shared" si="3"/>
        <v>8.9999999999999858E-2</v>
      </c>
    </row>
    <row r="59" spans="1:22" x14ac:dyDescent="0.2">
      <c r="A59" t="s">
        <v>80</v>
      </c>
      <c r="D59">
        <v>8.02</v>
      </c>
      <c r="E59">
        <v>8.34</v>
      </c>
      <c r="L59" t="s">
        <v>80</v>
      </c>
      <c r="M59">
        <v>0</v>
      </c>
      <c r="N59">
        <v>8000</v>
      </c>
      <c r="O59">
        <v>8.02</v>
      </c>
      <c r="P59">
        <v>8.34</v>
      </c>
      <c r="Q59">
        <v>0</v>
      </c>
      <c r="R59">
        <v>0</v>
      </c>
      <c r="S59" s="1">
        <f t="shared" si="4"/>
        <v>1.8</v>
      </c>
      <c r="T59">
        <f t="shared" si="5"/>
        <v>18000</v>
      </c>
      <c r="U59">
        <f t="shared" si="2"/>
        <v>-0.32000000000000028</v>
      </c>
      <c r="V59" t="str">
        <f t="shared" si="3"/>
        <v/>
      </c>
    </row>
    <row r="60" spans="1:22" x14ac:dyDescent="0.2">
      <c r="A60" t="s">
        <v>81</v>
      </c>
      <c r="D60">
        <v>15.41</v>
      </c>
      <c r="E60">
        <v>8.68</v>
      </c>
      <c r="L60" t="s">
        <v>81</v>
      </c>
      <c r="M60">
        <v>0</v>
      </c>
      <c r="N60">
        <v>0</v>
      </c>
      <c r="O60">
        <v>15.41</v>
      </c>
      <c r="P60">
        <v>8.68</v>
      </c>
      <c r="Q60">
        <v>0</v>
      </c>
      <c r="R60">
        <v>0</v>
      </c>
      <c r="S60" s="1">
        <f t="shared" si="4"/>
        <v>1.8</v>
      </c>
      <c r="T60">
        <f t="shared" si="5"/>
        <v>18000</v>
      </c>
      <c r="U60">
        <f t="shared" si="2"/>
        <v>6.73</v>
      </c>
      <c r="V60">
        <f t="shared" si="3"/>
        <v>6.73</v>
      </c>
    </row>
    <row r="61" spans="1:22" x14ac:dyDescent="0.2">
      <c r="A61" t="s">
        <v>82</v>
      </c>
      <c r="D61">
        <v>2.609999999999999</v>
      </c>
      <c r="E61">
        <v>9.4800000000000022</v>
      </c>
      <c r="L61" t="s">
        <v>82</v>
      </c>
      <c r="M61">
        <v>8000</v>
      </c>
      <c r="N61">
        <v>0</v>
      </c>
      <c r="O61">
        <v>2.609999999999999</v>
      </c>
      <c r="P61">
        <v>9.4800000000000022</v>
      </c>
      <c r="Q61">
        <v>0</v>
      </c>
      <c r="R61">
        <v>0</v>
      </c>
      <c r="S61" s="1">
        <f t="shared" si="4"/>
        <v>1</v>
      </c>
      <c r="T61">
        <f t="shared" si="5"/>
        <v>10000</v>
      </c>
      <c r="U61">
        <f t="shared" si="2"/>
        <v>-6.8700000000000028</v>
      </c>
      <c r="V61" t="str">
        <f t="shared" si="3"/>
        <v/>
      </c>
    </row>
    <row r="62" spans="1:22" x14ac:dyDescent="0.2">
      <c r="A62" t="s">
        <v>83</v>
      </c>
      <c r="D62">
        <v>2.69</v>
      </c>
      <c r="E62">
        <v>33.159999999999997</v>
      </c>
      <c r="L62" t="s">
        <v>83</v>
      </c>
      <c r="M62">
        <v>0</v>
      </c>
      <c r="N62">
        <v>8000</v>
      </c>
      <c r="O62">
        <v>2.69</v>
      </c>
      <c r="P62">
        <v>33.159999999999997</v>
      </c>
      <c r="Q62">
        <v>0</v>
      </c>
      <c r="R62">
        <v>0</v>
      </c>
      <c r="S62" s="1">
        <f t="shared" si="4"/>
        <v>1.8</v>
      </c>
      <c r="T62">
        <f t="shared" si="5"/>
        <v>18000</v>
      </c>
      <c r="U62">
        <f t="shared" si="2"/>
        <v>-30.469999999999995</v>
      </c>
      <c r="V62" t="str">
        <f t="shared" si="3"/>
        <v/>
      </c>
    </row>
    <row r="63" spans="1:22" x14ac:dyDescent="0.2">
      <c r="A63" t="s">
        <v>84</v>
      </c>
      <c r="D63">
        <v>0.25</v>
      </c>
      <c r="E63">
        <v>15.02</v>
      </c>
      <c r="L63" t="s">
        <v>84</v>
      </c>
      <c r="M63">
        <v>0</v>
      </c>
      <c r="N63">
        <v>0</v>
      </c>
      <c r="O63">
        <v>0.25</v>
      </c>
      <c r="P63">
        <v>15.02</v>
      </c>
      <c r="Q63">
        <v>0</v>
      </c>
      <c r="R63">
        <v>0</v>
      </c>
      <c r="S63" s="1">
        <f t="shared" si="4"/>
        <v>1.8</v>
      </c>
      <c r="T63">
        <f t="shared" si="5"/>
        <v>18000</v>
      </c>
      <c r="U63">
        <f t="shared" si="2"/>
        <v>-14.77</v>
      </c>
      <c r="V63" t="str">
        <f t="shared" si="3"/>
        <v/>
      </c>
    </row>
    <row r="64" spans="1:22" x14ac:dyDescent="0.2">
      <c r="A64" t="s">
        <v>85</v>
      </c>
      <c r="D64">
        <v>0.05</v>
      </c>
      <c r="E64">
        <v>10.69</v>
      </c>
      <c r="L64" t="s">
        <v>85</v>
      </c>
      <c r="M64">
        <v>8000</v>
      </c>
      <c r="N64">
        <v>0</v>
      </c>
      <c r="O64">
        <v>0.05</v>
      </c>
      <c r="P64">
        <v>10.69</v>
      </c>
      <c r="Q64">
        <v>0</v>
      </c>
      <c r="R64">
        <v>0</v>
      </c>
      <c r="S64" s="1">
        <f t="shared" si="4"/>
        <v>1</v>
      </c>
      <c r="T64">
        <f t="shared" si="5"/>
        <v>10000</v>
      </c>
      <c r="U64">
        <f t="shared" si="2"/>
        <v>-10.639999999999999</v>
      </c>
      <c r="V64" t="str">
        <f t="shared" si="3"/>
        <v/>
      </c>
    </row>
    <row r="65" spans="1:22" x14ac:dyDescent="0.2">
      <c r="A65" t="s">
        <v>86</v>
      </c>
      <c r="D65">
        <v>0</v>
      </c>
      <c r="E65">
        <v>256.97000000000003</v>
      </c>
      <c r="L65" t="s">
        <v>86</v>
      </c>
      <c r="M65">
        <v>0</v>
      </c>
      <c r="N65">
        <v>0</v>
      </c>
      <c r="O65">
        <v>0</v>
      </c>
      <c r="P65">
        <v>256.97000000000003</v>
      </c>
      <c r="Q65">
        <v>0</v>
      </c>
      <c r="R65">
        <v>0</v>
      </c>
      <c r="S65" s="1">
        <f t="shared" si="4"/>
        <v>1</v>
      </c>
      <c r="T65">
        <f t="shared" si="5"/>
        <v>10000</v>
      </c>
      <c r="U65">
        <f t="shared" si="2"/>
        <v>-256.97000000000003</v>
      </c>
      <c r="V65" t="str">
        <f t="shared" si="3"/>
        <v/>
      </c>
    </row>
    <row r="66" spans="1:22" x14ac:dyDescent="0.2">
      <c r="A66" t="s">
        <v>87</v>
      </c>
      <c r="D66">
        <v>0</v>
      </c>
      <c r="E66">
        <v>244.01</v>
      </c>
      <c r="L66" t="s">
        <v>87</v>
      </c>
      <c r="M66">
        <v>0</v>
      </c>
      <c r="N66">
        <v>8000</v>
      </c>
      <c r="O66">
        <v>0</v>
      </c>
      <c r="P66">
        <v>244.01</v>
      </c>
      <c r="Q66">
        <v>0</v>
      </c>
      <c r="R66">
        <v>0</v>
      </c>
      <c r="S66" s="1">
        <f t="shared" si="4"/>
        <v>1.8</v>
      </c>
      <c r="T66">
        <f t="shared" si="5"/>
        <v>18000</v>
      </c>
      <c r="U66">
        <f t="shared" si="2"/>
        <v>-244.01</v>
      </c>
      <c r="V66" t="str">
        <f t="shared" si="3"/>
        <v/>
      </c>
    </row>
    <row r="67" spans="1:22" x14ac:dyDescent="0.2">
      <c r="A67" t="s">
        <v>88</v>
      </c>
      <c r="D67">
        <v>0</v>
      </c>
      <c r="E67">
        <v>179.88</v>
      </c>
      <c r="L67" t="s">
        <v>88</v>
      </c>
      <c r="M67">
        <v>8000</v>
      </c>
      <c r="N67">
        <v>0</v>
      </c>
      <c r="O67">
        <v>0</v>
      </c>
      <c r="P67">
        <v>179.88</v>
      </c>
      <c r="Q67">
        <v>0</v>
      </c>
      <c r="R67">
        <v>0</v>
      </c>
      <c r="S67" s="1">
        <f t="shared" ref="S67:S98" si="6">T67/W$1</f>
        <v>1</v>
      </c>
      <c r="T67">
        <f t="shared" si="5"/>
        <v>10000</v>
      </c>
      <c r="U67">
        <f t="shared" si="2"/>
        <v>-179.88</v>
      </c>
      <c r="V67" t="str">
        <f t="shared" si="3"/>
        <v/>
      </c>
    </row>
    <row r="68" spans="1:22" x14ac:dyDescent="0.2">
      <c r="A68" t="s">
        <v>89</v>
      </c>
      <c r="D68">
        <v>0</v>
      </c>
      <c r="E68">
        <v>193.43</v>
      </c>
      <c r="L68" t="s">
        <v>89</v>
      </c>
      <c r="M68">
        <v>0</v>
      </c>
      <c r="N68">
        <v>8000</v>
      </c>
      <c r="O68">
        <v>0</v>
      </c>
      <c r="P68">
        <v>193.43</v>
      </c>
      <c r="Q68">
        <v>0</v>
      </c>
      <c r="R68">
        <v>0</v>
      </c>
      <c r="S68" s="1">
        <f t="shared" si="6"/>
        <v>1.8</v>
      </c>
      <c r="T68">
        <f t="shared" ref="T68:T94" si="7">T67-M68+N68</f>
        <v>18000</v>
      </c>
      <c r="U68">
        <f t="shared" ref="U68:U94" si="8">O68-P68</f>
        <v>-193.43</v>
      </c>
      <c r="V68" t="str">
        <f t="shared" ref="V68:V94" si="9">IF(U68&gt;=0,U68,"")</f>
        <v/>
      </c>
    </row>
    <row r="69" spans="1:22" x14ac:dyDescent="0.2">
      <c r="A69" t="s">
        <v>90</v>
      </c>
      <c r="D69">
        <v>0</v>
      </c>
      <c r="E69">
        <v>201.72</v>
      </c>
      <c r="L69" t="s">
        <v>90</v>
      </c>
      <c r="M69">
        <v>8000</v>
      </c>
      <c r="N69">
        <v>0</v>
      </c>
      <c r="O69">
        <v>0</v>
      </c>
      <c r="P69">
        <v>201.72</v>
      </c>
      <c r="Q69">
        <v>0</v>
      </c>
      <c r="R69">
        <v>0</v>
      </c>
      <c r="S69" s="1">
        <f t="shared" si="6"/>
        <v>1</v>
      </c>
      <c r="T69">
        <f t="shared" si="7"/>
        <v>10000</v>
      </c>
      <c r="U69">
        <f t="shared" si="8"/>
        <v>-201.72</v>
      </c>
      <c r="V69" t="str">
        <f t="shared" si="9"/>
        <v/>
      </c>
    </row>
    <row r="70" spans="1:22" x14ac:dyDescent="0.2">
      <c r="A70" t="s">
        <v>91</v>
      </c>
      <c r="D70">
        <v>0</v>
      </c>
      <c r="E70">
        <v>547.07000000000005</v>
      </c>
      <c r="L70" t="s">
        <v>91</v>
      </c>
      <c r="M70">
        <v>0</v>
      </c>
      <c r="N70">
        <v>0</v>
      </c>
      <c r="O70">
        <v>0</v>
      </c>
      <c r="P70">
        <v>547.07000000000005</v>
      </c>
      <c r="Q70">
        <v>0</v>
      </c>
      <c r="R70">
        <v>0</v>
      </c>
      <c r="S70" s="1">
        <f t="shared" si="6"/>
        <v>1</v>
      </c>
      <c r="T70">
        <f t="shared" si="7"/>
        <v>10000</v>
      </c>
      <c r="U70">
        <f t="shared" si="8"/>
        <v>-547.07000000000005</v>
      </c>
      <c r="V70" t="str">
        <f t="shared" si="9"/>
        <v/>
      </c>
    </row>
    <row r="71" spans="1:22" x14ac:dyDescent="0.2">
      <c r="A71" t="s">
        <v>92</v>
      </c>
      <c r="D71">
        <v>0</v>
      </c>
      <c r="E71">
        <v>430.0499999999999</v>
      </c>
      <c r="L71" t="s">
        <v>92</v>
      </c>
      <c r="M71">
        <v>0</v>
      </c>
      <c r="N71">
        <v>0</v>
      </c>
      <c r="O71">
        <v>0</v>
      </c>
      <c r="P71">
        <v>430.0499999999999</v>
      </c>
      <c r="Q71">
        <v>0</v>
      </c>
      <c r="R71">
        <v>0</v>
      </c>
      <c r="S71" s="1">
        <f t="shared" si="6"/>
        <v>1</v>
      </c>
      <c r="T71">
        <f t="shared" si="7"/>
        <v>10000</v>
      </c>
      <c r="U71">
        <f t="shared" si="8"/>
        <v>-430.0499999999999</v>
      </c>
      <c r="V71" t="str">
        <f t="shared" si="9"/>
        <v/>
      </c>
    </row>
    <row r="72" spans="1:22" x14ac:dyDescent="0.2">
      <c r="A72" t="s">
        <v>93</v>
      </c>
      <c r="D72">
        <v>0</v>
      </c>
      <c r="E72">
        <v>366.76</v>
      </c>
      <c r="L72" t="s">
        <v>93</v>
      </c>
      <c r="M72">
        <v>0</v>
      </c>
      <c r="N72">
        <v>8000</v>
      </c>
      <c r="O72">
        <v>0</v>
      </c>
      <c r="P72">
        <v>366.76</v>
      </c>
      <c r="Q72">
        <v>0</v>
      </c>
      <c r="R72">
        <v>0</v>
      </c>
      <c r="S72" s="1">
        <f t="shared" si="6"/>
        <v>1.8</v>
      </c>
      <c r="T72">
        <f t="shared" si="7"/>
        <v>18000</v>
      </c>
      <c r="U72">
        <f t="shared" si="8"/>
        <v>-366.76</v>
      </c>
      <c r="V72" t="str">
        <f t="shared" si="9"/>
        <v/>
      </c>
    </row>
    <row r="73" spans="1:22" x14ac:dyDescent="0.2">
      <c r="A73" t="s">
        <v>94</v>
      </c>
      <c r="D73">
        <v>0</v>
      </c>
      <c r="E73">
        <v>334.99</v>
      </c>
      <c r="L73" t="s">
        <v>94</v>
      </c>
      <c r="M73">
        <v>8000</v>
      </c>
      <c r="N73">
        <v>0</v>
      </c>
      <c r="O73">
        <v>0</v>
      </c>
      <c r="P73">
        <v>334.99</v>
      </c>
      <c r="Q73">
        <v>0</v>
      </c>
      <c r="R73">
        <v>0</v>
      </c>
      <c r="S73" s="1">
        <f t="shared" si="6"/>
        <v>1</v>
      </c>
      <c r="T73">
        <f t="shared" si="7"/>
        <v>10000</v>
      </c>
      <c r="U73">
        <f t="shared" si="8"/>
        <v>-334.99</v>
      </c>
      <c r="V73" t="str">
        <f t="shared" si="9"/>
        <v/>
      </c>
    </row>
    <row r="74" spans="1:22" x14ac:dyDescent="0.2">
      <c r="A74" t="s">
        <v>95</v>
      </c>
      <c r="D74">
        <v>0</v>
      </c>
      <c r="E74">
        <v>205.54</v>
      </c>
      <c r="L74" t="s">
        <v>95</v>
      </c>
      <c r="M74">
        <v>0</v>
      </c>
      <c r="N74">
        <v>0</v>
      </c>
      <c r="O74">
        <v>0</v>
      </c>
      <c r="P74">
        <v>205.54</v>
      </c>
      <c r="Q74">
        <v>0</v>
      </c>
      <c r="R74">
        <v>0</v>
      </c>
      <c r="S74" s="1">
        <f t="shared" si="6"/>
        <v>1</v>
      </c>
      <c r="T74">
        <f t="shared" si="7"/>
        <v>10000</v>
      </c>
      <c r="U74">
        <f t="shared" si="8"/>
        <v>-205.54</v>
      </c>
      <c r="V74" t="str">
        <f t="shared" si="9"/>
        <v/>
      </c>
    </row>
    <row r="75" spans="1:22" x14ac:dyDescent="0.2">
      <c r="A75" t="s">
        <v>96</v>
      </c>
      <c r="D75">
        <v>0</v>
      </c>
      <c r="E75">
        <v>197.98</v>
      </c>
      <c r="L75" t="s">
        <v>96</v>
      </c>
      <c r="M75">
        <v>0</v>
      </c>
      <c r="N75">
        <v>8000</v>
      </c>
      <c r="O75">
        <v>0</v>
      </c>
      <c r="P75">
        <v>197.98</v>
      </c>
      <c r="Q75">
        <v>0</v>
      </c>
      <c r="R75">
        <v>0</v>
      </c>
      <c r="S75" s="1">
        <f t="shared" si="6"/>
        <v>1.8</v>
      </c>
      <c r="T75">
        <f t="shared" si="7"/>
        <v>18000</v>
      </c>
      <c r="U75">
        <f t="shared" si="8"/>
        <v>-197.98</v>
      </c>
      <c r="V75" t="str">
        <f t="shared" si="9"/>
        <v/>
      </c>
    </row>
    <row r="76" spans="1:22" x14ac:dyDescent="0.2">
      <c r="A76" t="s">
        <v>97</v>
      </c>
      <c r="D76">
        <v>0</v>
      </c>
      <c r="E76">
        <v>192.25</v>
      </c>
      <c r="L76" t="s">
        <v>97</v>
      </c>
      <c r="M76">
        <v>8000</v>
      </c>
      <c r="N76">
        <v>0</v>
      </c>
      <c r="O76">
        <v>0</v>
      </c>
      <c r="P76">
        <v>192.25</v>
      </c>
      <c r="Q76">
        <v>0</v>
      </c>
      <c r="R76">
        <v>0</v>
      </c>
      <c r="S76" s="1">
        <f t="shared" si="6"/>
        <v>1</v>
      </c>
      <c r="T76">
        <f t="shared" si="7"/>
        <v>10000</v>
      </c>
      <c r="U76">
        <f t="shared" si="8"/>
        <v>-192.25</v>
      </c>
      <c r="V76" t="str">
        <f t="shared" si="9"/>
        <v/>
      </c>
    </row>
    <row r="77" spans="1:22" x14ac:dyDescent="0.2">
      <c r="A77" t="s">
        <v>98</v>
      </c>
      <c r="D77">
        <v>0</v>
      </c>
      <c r="E77">
        <v>283.61</v>
      </c>
      <c r="L77" t="s">
        <v>98</v>
      </c>
      <c r="M77">
        <v>0</v>
      </c>
      <c r="N77">
        <v>8000</v>
      </c>
      <c r="O77">
        <v>0</v>
      </c>
      <c r="P77">
        <v>283.61</v>
      </c>
      <c r="Q77">
        <v>0</v>
      </c>
      <c r="R77">
        <v>0</v>
      </c>
      <c r="S77" s="1">
        <f t="shared" si="6"/>
        <v>1.8</v>
      </c>
      <c r="T77">
        <f t="shared" si="7"/>
        <v>18000</v>
      </c>
      <c r="U77">
        <f t="shared" si="8"/>
        <v>-283.61</v>
      </c>
      <c r="V77" t="str">
        <f t="shared" si="9"/>
        <v/>
      </c>
    </row>
    <row r="78" spans="1:22" x14ac:dyDescent="0.2">
      <c r="A78" t="s">
        <v>99</v>
      </c>
      <c r="D78">
        <v>0</v>
      </c>
      <c r="E78">
        <v>226.68</v>
      </c>
      <c r="L78" t="s">
        <v>99</v>
      </c>
      <c r="M78">
        <v>0</v>
      </c>
      <c r="N78">
        <v>0</v>
      </c>
      <c r="O78">
        <v>0</v>
      </c>
      <c r="P78">
        <v>226.68</v>
      </c>
      <c r="Q78">
        <v>0</v>
      </c>
      <c r="R78">
        <v>0</v>
      </c>
      <c r="S78" s="1">
        <f t="shared" si="6"/>
        <v>1.8</v>
      </c>
      <c r="T78">
        <f t="shared" si="7"/>
        <v>18000</v>
      </c>
      <c r="U78">
        <f t="shared" si="8"/>
        <v>-226.68</v>
      </c>
      <c r="V78" t="str">
        <f t="shared" si="9"/>
        <v/>
      </c>
    </row>
    <row r="79" spans="1:22" x14ac:dyDescent="0.2">
      <c r="A79" t="s">
        <v>100</v>
      </c>
      <c r="D79">
        <v>0</v>
      </c>
      <c r="E79">
        <v>244.4</v>
      </c>
      <c r="L79" t="s">
        <v>100</v>
      </c>
      <c r="M79">
        <v>8000</v>
      </c>
      <c r="N79">
        <v>0</v>
      </c>
      <c r="O79">
        <v>0</v>
      </c>
      <c r="P79">
        <v>244.4</v>
      </c>
      <c r="Q79">
        <v>0</v>
      </c>
      <c r="R79">
        <v>0</v>
      </c>
      <c r="S79" s="1">
        <f t="shared" si="6"/>
        <v>1</v>
      </c>
      <c r="T79">
        <f t="shared" si="7"/>
        <v>10000</v>
      </c>
      <c r="U79">
        <f t="shared" si="8"/>
        <v>-244.4</v>
      </c>
      <c r="V79" t="str">
        <f t="shared" si="9"/>
        <v/>
      </c>
    </row>
    <row r="80" spans="1:22" x14ac:dyDescent="0.2">
      <c r="A80" t="s">
        <v>101</v>
      </c>
      <c r="D80">
        <v>0</v>
      </c>
      <c r="E80">
        <v>194.19</v>
      </c>
      <c r="L80" t="s">
        <v>101</v>
      </c>
      <c r="M80">
        <v>0</v>
      </c>
      <c r="N80">
        <v>0</v>
      </c>
      <c r="O80">
        <v>0</v>
      </c>
      <c r="P80">
        <v>194.19</v>
      </c>
      <c r="Q80">
        <v>0</v>
      </c>
      <c r="R80">
        <v>0</v>
      </c>
      <c r="S80" s="1">
        <f t="shared" si="6"/>
        <v>1</v>
      </c>
      <c r="T80">
        <f t="shared" si="7"/>
        <v>10000</v>
      </c>
      <c r="U80">
        <f t="shared" si="8"/>
        <v>-194.19</v>
      </c>
      <c r="V80" t="str">
        <f t="shared" si="9"/>
        <v/>
      </c>
    </row>
    <row r="81" spans="1:22" x14ac:dyDescent="0.2">
      <c r="A81" t="s">
        <v>102</v>
      </c>
      <c r="D81">
        <v>0</v>
      </c>
      <c r="E81">
        <v>187.44</v>
      </c>
      <c r="L81" t="s">
        <v>102</v>
      </c>
      <c r="M81">
        <v>0</v>
      </c>
      <c r="N81">
        <v>8000</v>
      </c>
      <c r="O81">
        <v>0</v>
      </c>
      <c r="P81">
        <v>187.44</v>
      </c>
      <c r="Q81">
        <v>0</v>
      </c>
      <c r="R81">
        <v>0</v>
      </c>
      <c r="S81" s="1">
        <f t="shared" si="6"/>
        <v>1.8</v>
      </c>
      <c r="T81">
        <f t="shared" si="7"/>
        <v>18000</v>
      </c>
      <c r="U81">
        <f t="shared" si="8"/>
        <v>-187.44</v>
      </c>
      <c r="V81" t="str">
        <f t="shared" si="9"/>
        <v/>
      </c>
    </row>
    <row r="82" spans="1:22" x14ac:dyDescent="0.2">
      <c r="A82" t="s">
        <v>103</v>
      </c>
      <c r="D82">
        <v>0</v>
      </c>
      <c r="E82">
        <v>187.73</v>
      </c>
      <c r="L82" t="s">
        <v>103</v>
      </c>
      <c r="M82">
        <v>0</v>
      </c>
      <c r="N82">
        <v>0</v>
      </c>
      <c r="O82">
        <v>0</v>
      </c>
      <c r="P82">
        <v>187.73</v>
      </c>
      <c r="Q82">
        <v>0</v>
      </c>
      <c r="R82">
        <v>0</v>
      </c>
      <c r="S82" s="1">
        <f t="shared" si="6"/>
        <v>1.8</v>
      </c>
      <c r="T82">
        <f t="shared" si="7"/>
        <v>18000</v>
      </c>
      <c r="U82">
        <f t="shared" si="8"/>
        <v>-187.73</v>
      </c>
      <c r="V82" t="str">
        <f t="shared" si="9"/>
        <v/>
      </c>
    </row>
    <row r="83" spans="1:22" x14ac:dyDescent="0.2">
      <c r="A83" t="s">
        <v>104</v>
      </c>
      <c r="D83">
        <v>0</v>
      </c>
      <c r="E83">
        <v>187.64</v>
      </c>
      <c r="L83" t="s">
        <v>104</v>
      </c>
      <c r="M83">
        <v>0</v>
      </c>
      <c r="N83">
        <v>0</v>
      </c>
      <c r="O83">
        <v>0</v>
      </c>
      <c r="P83">
        <v>187.64</v>
      </c>
      <c r="Q83">
        <v>0</v>
      </c>
      <c r="R83">
        <v>0</v>
      </c>
      <c r="S83" s="1">
        <f t="shared" si="6"/>
        <v>1.8</v>
      </c>
      <c r="T83">
        <f t="shared" si="7"/>
        <v>18000</v>
      </c>
      <c r="U83">
        <f t="shared" si="8"/>
        <v>-187.64</v>
      </c>
      <c r="V83" t="str">
        <f t="shared" si="9"/>
        <v/>
      </c>
    </row>
    <row r="84" spans="1:22" x14ac:dyDescent="0.2">
      <c r="A84" t="s">
        <v>105</v>
      </c>
      <c r="D84">
        <v>0</v>
      </c>
      <c r="E84">
        <v>209.09</v>
      </c>
      <c r="L84" t="s">
        <v>105</v>
      </c>
      <c r="M84">
        <v>8000</v>
      </c>
      <c r="N84">
        <v>0</v>
      </c>
      <c r="O84">
        <v>0</v>
      </c>
      <c r="P84">
        <v>209.09</v>
      </c>
      <c r="Q84">
        <v>0</v>
      </c>
      <c r="R84">
        <v>0</v>
      </c>
      <c r="S84" s="1">
        <f t="shared" si="6"/>
        <v>1</v>
      </c>
      <c r="T84">
        <f t="shared" si="7"/>
        <v>10000</v>
      </c>
      <c r="U84">
        <f t="shared" si="8"/>
        <v>-209.09</v>
      </c>
      <c r="V84" t="str">
        <f t="shared" si="9"/>
        <v/>
      </c>
    </row>
    <row r="85" spans="1:22" x14ac:dyDescent="0.2">
      <c r="A85" t="s">
        <v>106</v>
      </c>
      <c r="D85">
        <v>0</v>
      </c>
      <c r="E85">
        <v>206.08</v>
      </c>
      <c r="L85" t="s">
        <v>106</v>
      </c>
      <c r="M85">
        <v>0</v>
      </c>
      <c r="N85">
        <v>0</v>
      </c>
      <c r="O85">
        <v>0</v>
      </c>
      <c r="P85">
        <v>206.08</v>
      </c>
      <c r="Q85">
        <v>0</v>
      </c>
      <c r="R85">
        <v>0</v>
      </c>
      <c r="S85" s="1">
        <f t="shared" si="6"/>
        <v>1</v>
      </c>
      <c r="T85">
        <f t="shared" si="7"/>
        <v>10000</v>
      </c>
      <c r="U85">
        <f t="shared" si="8"/>
        <v>-206.08</v>
      </c>
      <c r="V85" t="str">
        <f t="shared" si="9"/>
        <v/>
      </c>
    </row>
    <row r="86" spans="1:22" x14ac:dyDescent="0.2">
      <c r="A86" t="s">
        <v>107</v>
      </c>
      <c r="D86">
        <v>0</v>
      </c>
      <c r="E86">
        <v>128.22999999999999</v>
      </c>
      <c r="L86" t="s">
        <v>107</v>
      </c>
      <c r="M86">
        <v>0</v>
      </c>
      <c r="N86">
        <v>8000</v>
      </c>
      <c r="O86">
        <v>0</v>
      </c>
      <c r="P86">
        <v>128.22999999999999</v>
      </c>
      <c r="Q86">
        <v>0</v>
      </c>
      <c r="R86">
        <v>0</v>
      </c>
      <c r="S86" s="1">
        <f t="shared" si="6"/>
        <v>1.8</v>
      </c>
      <c r="T86">
        <f t="shared" si="7"/>
        <v>18000</v>
      </c>
      <c r="U86">
        <f t="shared" si="8"/>
        <v>-128.22999999999999</v>
      </c>
      <c r="V86" t="str">
        <f t="shared" si="9"/>
        <v/>
      </c>
    </row>
    <row r="87" spans="1:22" x14ac:dyDescent="0.2">
      <c r="A87" t="s">
        <v>108</v>
      </c>
      <c r="D87">
        <v>0</v>
      </c>
      <c r="E87">
        <v>59.010000000000012</v>
      </c>
      <c r="L87" t="s">
        <v>108</v>
      </c>
      <c r="M87">
        <v>8000</v>
      </c>
      <c r="N87">
        <v>0</v>
      </c>
      <c r="O87">
        <v>0</v>
      </c>
      <c r="P87">
        <v>59.010000000000012</v>
      </c>
      <c r="Q87">
        <v>0</v>
      </c>
      <c r="R87">
        <v>0</v>
      </c>
      <c r="S87" s="1">
        <f t="shared" si="6"/>
        <v>1</v>
      </c>
      <c r="T87">
        <f t="shared" si="7"/>
        <v>10000</v>
      </c>
      <c r="U87">
        <f t="shared" si="8"/>
        <v>-59.010000000000012</v>
      </c>
      <c r="V87" t="str">
        <f t="shared" si="9"/>
        <v/>
      </c>
    </row>
    <row r="88" spans="1:22" x14ac:dyDescent="0.2">
      <c r="A88" t="s">
        <v>109</v>
      </c>
      <c r="D88">
        <v>0</v>
      </c>
      <c r="E88">
        <v>56.470000000000013</v>
      </c>
      <c r="L88" t="s">
        <v>109</v>
      </c>
      <c r="M88">
        <v>0</v>
      </c>
      <c r="N88">
        <v>0</v>
      </c>
      <c r="O88">
        <v>0</v>
      </c>
      <c r="P88">
        <v>56.470000000000013</v>
      </c>
      <c r="Q88">
        <v>0</v>
      </c>
      <c r="R88">
        <v>0</v>
      </c>
      <c r="S88" s="1">
        <f t="shared" si="6"/>
        <v>1</v>
      </c>
      <c r="T88">
        <f t="shared" si="7"/>
        <v>10000</v>
      </c>
      <c r="U88">
        <f t="shared" si="8"/>
        <v>-56.470000000000013</v>
      </c>
      <c r="V88" t="str">
        <f t="shared" si="9"/>
        <v/>
      </c>
    </row>
    <row r="89" spans="1:22" x14ac:dyDescent="0.2">
      <c r="A89" t="s">
        <v>110</v>
      </c>
      <c r="D89">
        <v>0</v>
      </c>
      <c r="E89">
        <v>73.53</v>
      </c>
      <c r="L89" t="s">
        <v>110</v>
      </c>
      <c r="M89">
        <v>0</v>
      </c>
      <c r="N89">
        <v>8000</v>
      </c>
      <c r="O89">
        <v>0</v>
      </c>
      <c r="P89">
        <v>73.53</v>
      </c>
      <c r="Q89">
        <v>0</v>
      </c>
      <c r="R89">
        <v>0</v>
      </c>
      <c r="S89" s="1">
        <f t="shared" si="6"/>
        <v>1.8</v>
      </c>
      <c r="T89">
        <f t="shared" si="7"/>
        <v>18000</v>
      </c>
      <c r="U89">
        <f t="shared" si="8"/>
        <v>-73.53</v>
      </c>
      <c r="V89" t="str">
        <f t="shared" si="9"/>
        <v/>
      </c>
    </row>
    <row r="90" spans="1:22" x14ac:dyDescent="0.2">
      <c r="A90" t="s">
        <v>111</v>
      </c>
      <c r="D90">
        <v>0</v>
      </c>
      <c r="E90">
        <v>86.960000000000008</v>
      </c>
      <c r="L90" t="s">
        <v>111</v>
      </c>
      <c r="M90">
        <v>0</v>
      </c>
      <c r="N90">
        <v>0</v>
      </c>
      <c r="O90">
        <v>0</v>
      </c>
      <c r="P90">
        <v>86.960000000000008</v>
      </c>
      <c r="Q90">
        <v>0</v>
      </c>
      <c r="R90">
        <v>0</v>
      </c>
      <c r="S90" s="1">
        <f t="shared" si="6"/>
        <v>1.8</v>
      </c>
      <c r="T90">
        <f t="shared" si="7"/>
        <v>18000</v>
      </c>
      <c r="U90">
        <f t="shared" si="8"/>
        <v>-86.960000000000008</v>
      </c>
      <c r="V90" t="str">
        <f t="shared" si="9"/>
        <v/>
      </c>
    </row>
    <row r="91" spans="1:22" x14ac:dyDescent="0.2">
      <c r="A91" t="s">
        <v>112</v>
      </c>
      <c r="D91">
        <v>0</v>
      </c>
      <c r="E91">
        <v>71.03</v>
      </c>
      <c r="L91" t="s">
        <v>112</v>
      </c>
      <c r="M91">
        <v>8000</v>
      </c>
      <c r="N91">
        <v>0</v>
      </c>
      <c r="O91">
        <v>0</v>
      </c>
      <c r="P91">
        <v>71.03</v>
      </c>
      <c r="Q91">
        <v>0</v>
      </c>
      <c r="R91">
        <v>0</v>
      </c>
      <c r="S91" s="1">
        <f t="shared" si="6"/>
        <v>1</v>
      </c>
      <c r="T91">
        <f t="shared" si="7"/>
        <v>10000</v>
      </c>
      <c r="U91">
        <f t="shared" si="8"/>
        <v>-71.03</v>
      </c>
      <c r="V91" t="str">
        <f t="shared" si="9"/>
        <v/>
      </c>
    </row>
    <row r="92" spans="1:22" x14ac:dyDescent="0.2">
      <c r="A92" t="s">
        <v>113</v>
      </c>
      <c r="D92">
        <v>0</v>
      </c>
      <c r="E92">
        <v>86.889999999999986</v>
      </c>
      <c r="L92" t="s">
        <v>113</v>
      </c>
      <c r="M92">
        <v>0</v>
      </c>
      <c r="N92">
        <v>0</v>
      </c>
      <c r="O92">
        <v>0</v>
      </c>
      <c r="P92">
        <v>86.889999999999986</v>
      </c>
      <c r="Q92">
        <v>0</v>
      </c>
      <c r="R92">
        <v>0</v>
      </c>
      <c r="S92" s="1">
        <f t="shared" si="6"/>
        <v>1</v>
      </c>
      <c r="T92">
        <f t="shared" si="7"/>
        <v>10000</v>
      </c>
      <c r="U92">
        <f t="shared" si="8"/>
        <v>-86.889999999999986</v>
      </c>
      <c r="V92" t="str">
        <f t="shared" si="9"/>
        <v/>
      </c>
    </row>
    <row r="93" spans="1:22" x14ac:dyDescent="0.2">
      <c r="A93" t="s">
        <v>114</v>
      </c>
      <c r="D93">
        <v>0</v>
      </c>
      <c r="E93">
        <v>96.16</v>
      </c>
      <c r="L93" t="s">
        <v>114</v>
      </c>
      <c r="M93">
        <v>0</v>
      </c>
      <c r="N93">
        <v>0</v>
      </c>
      <c r="O93">
        <v>0</v>
      </c>
      <c r="P93">
        <v>96.16</v>
      </c>
      <c r="Q93">
        <v>0</v>
      </c>
      <c r="R93">
        <v>0</v>
      </c>
      <c r="S93" s="1">
        <f t="shared" si="6"/>
        <v>1</v>
      </c>
      <c r="T93">
        <f t="shared" si="7"/>
        <v>10000</v>
      </c>
      <c r="U93">
        <f t="shared" si="8"/>
        <v>-96.16</v>
      </c>
      <c r="V93" t="str">
        <f t="shared" si="9"/>
        <v/>
      </c>
    </row>
    <row r="94" spans="1:22" x14ac:dyDescent="0.2">
      <c r="A94" t="s">
        <v>115</v>
      </c>
      <c r="D94">
        <v>0</v>
      </c>
      <c r="E94">
        <v>53.970000000000013</v>
      </c>
      <c r="L94" t="s">
        <v>115</v>
      </c>
      <c r="M94">
        <v>0</v>
      </c>
      <c r="N94">
        <v>0</v>
      </c>
      <c r="O94">
        <v>0</v>
      </c>
      <c r="P94">
        <v>53.970000000000013</v>
      </c>
      <c r="Q94">
        <v>0</v>
      </c>
      <c r="R94">
        <v>0</v>
      </c>
      <c r="S94" s="1">
        <f t="shared" si="6"/>
        <v>1</v>
      </c>
      <c r="T94">
        <f t="shared" si="7"/>
        <v>10000</v>
      </c>
      <c r="U94">
        <f t="shared" si="8"/>
        <v>-53.970000000000013</v>
      </c>
      <c r="V94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2020-01-01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Kristian Reale</cp:lastModifiedBy>
  <dcterms:created xsi:type="dcterms:W3CDTF">2025-10-06T15:05:24Z</dcterms:created>
  <dcterms:modified xsi:type="dcterms:W3CDTF">2025-10-06T15:12:47Z</dcterms:modified>
</cp:coreProperties>
</file>
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/ResultsClingcon/H1_15_min_Wh/"/>
    </mc:Choice>
  </mc:AlternateContent>
  <xr:revisionPtr revIDLastSave="0" documentId="13_ncr:1_{3A7654B0-8525-AA44-93BD-92328BE9390F}" xr6:coauthVersionLast="47" xr6:coauthVersionMax="47" xr10:uidLastSave="{00000000-0000-0000-0000-000000000000}"/>
  <bookViews>
    <workbookView xWindow="1720" yWindow="920" windowWidth="38400" windowHeight="19460" xr2:uid="{00000000-000D-0000-FFFF-FFFF00000000}"/>
  </bookViews>
  <sheets>
    <sheet name="2020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" i="1" l="1"/>
  <c r="G100" i="1"/>
  <c r="F100" i="1"/>
  <c r="R100" i="1"/>
  <c r="Q100" i="1"/>
  <c r="T3" i="1"/>
  <c r="S3" i="1" s="1"/>
  <c r="T4" i="1" l="1"/>
  <c r="S4" i="1" l="1"/>
  <c r="T5" i="1"/>
  <c r="T6" i="1" l="1"/>
  <c r="S5" i="1"/>
  <c r="T7" i="1" l="1"/>
  <c r="S6" i="1"/>
  <c r="S7" i="1" l="1"/>
  <c r="T8" i="1"/>
  <c r="S8" i="1" l="1"/>
  <c r="T9" i="1"/>
  <c r="S9" i="1" l="1"/>
  <c r="T10" i="1"/>
  <c r="S10" i="1" l="1"/>
  <c r="T11" i="1"/>
  <c r="S11" i="1" l="1"/>
  <c r="T12" i="1"/>
  <c r="S12" i="1" l="1"/>
  <c r="T13" i="1"/>
  <c r="T14" i="1" l="1"/>
  <c r="S13" i="1"/>
  <c r="T15" i="1" l="1"/>
  <c r="S14" i="1"/>
  <c r="S15" i="1" l="1"/>
  <c r="T16" i="1"/>
  <c r="T17" i="1" l="1"/>
  <c r="S16" i="1"/>
  <c r="S17" i="1" l="1"/>
  <c r="T18" i="1"/>
  <c r="T19" i="1" l="1"/>
  <c r="S18" i="1"/>
  <c r="T20" i="1" l="1"/>
  <c r="S19" i="1"/>
  <c r="T21" i="1" l="1"/>
  <c r="S20" i="1"/>
  <c r="T22" i="1" l="1"/>
  <c r="S21" i="1"/>
  <c r="T23" i="1" l="1"/>
  <c r="S22" i="1"/>
  <c r="S23" i="1" l="1"/>
  <c r="T24" i="1"/>
  <c r="T25" i="1" l="1"/>
  <c r="S24" i="1"/>
  <c r="T26" i="1" l="1"/>
  <c r="S25" i="1"/>
  <c r="T27" i="1" l="1"/>
  <c r="S26" i="1"/>
  <c r="S27" i="1" l="1"/>
  <c r="T28" i="1"/>
  <c r="T29" i="1" l="1"/>
  <c r="S28" i="1"/>
  <c r="S29" i="1" l="1"/>
  <c r="T30" i="1"/>
  <c r="T31" i="1" l="1"/>
  <c r="S30" i="1"/>
  <c r="T32" i="1" l="1"/>
  <c r="S31" i="1"/>
  <c r="T33" i="1" l="1"/>
  <c r="S32" i="1"/>
  <c r="S33" i="1" l="1"/>
  <c r="T34" i="1"/>
  <c r="T35" i="1" l="1"/>
  <c r="S34" i="1"/>
  <c r="S35" i="1" l="1"/>
  <c r="T36" i="1"/>
  <c r="T37" i="1" l="1"/>
  <c r="S36" i="1"/>
  <c r="S37" i="1" l="1"/>
  <c r="T38" i="1"/>
  <c r="T39" i="1" l="1"/>
  <c r="S38" i="1"/>
  <c r="S39" i="1" l="1"/>
  <c r="T40" i="1"/>
  <c r="T41" i="1" l="1"/>
  <c r="S40" i="1"/>
  <c r="S41" i="1" l="1"/>
  <c r="T42" i="1"/>
  <c r="T43" i="1" l="1"/>
  <c r="S42" i="1"/>
  <c r="S43" i="1" l="1"/>
  <c r="T44" i="1"/>
  <c r="T45" i="1" l="1"/>
  <c r="S44" i="1"/>
  <c r="T46" i="1" l="1"/>
  <c r="S45" i="1"/>
  <c r="T47" i="1" l="1"/>
  <c r="S46" i="1"/>
  <c r="T48" i="1" l="1"/>
  <c r="S47" i="1"/>
  <c r="S48" i="1" l="1"/>
  <c r="T49" i="1"/>
  <c r="S49" i="1" l="1"/>
  <c r="T50" i="1"/>
  <c r="T51" i="1" l="1"/>
  <c r="S50" i="1"/>
  <c r="S51" i="1" l="1"/>
  <c r="T52" i="1"/>
  <c r="T53" i="1" l="1"/>
  <c r="S52" i="1"/>
  <c r="S53" i="1" l="1"/>
  <c r="T54" i="1"/>
  <c r="T55" i="1" l="1"/>
  <c r="S54" i="1"/>
  <c r="S55" i="1" l="1"/>
  <c r="T56" i="1"/>
  <c r="T57" i="1" l="1"/>
  <c r="S56" i="1"/>
  <c r="T58" i="1" l="1"/>
  <c r="S57" i="1"/>
  <c r="T59" i="1" l="1"/>
  <c r="S58" i="1"/>
  <c r="S59" i="1" l="1"/>
  <c r="T60" i="1"/>
  <c r="T61" i="1" l="1"/>
  <c r="S60" i="1"/>
  <c r="S61" i="1" l="1"/>
  <c r="T62" i="1"/>
  <c r="T63" i="1" l="1"/>
  <c r="S62" i="1"/>
  <c r="S63" i="1" l="1"/>
  <c r="T64" i="1"/>
  <c r="T65" i="1" l="1"/>
  <c r="S64" i="1"/>
  <c r="T66" i="1" l="1"/>
  <c r="S65" i="1"/>
  <c r="T67" i="1" l="1"/>
  <c r="S66" i="1"/>
  <c r="T68" i="1" l="1"/>
  <c r="S67" i="1"/>
  <c r="T69" i="1" l="1"/>
  <c r="S68" i="1"/>
  <c r="S69" i="1" l="1"/>
  <c r="T70" i="1"/>
  <c r="T71" i="1" l="1"/>
  <c r="S70" i="1"/>
  <c r="S71" i="1" l="1"/>
  <c r="T72" i="1"/>
  <c r="T73" i="1" l="1"/>
  <c r="S72" i="1"/>
  <c r="T74" i="1" l="1"/>
  <c r="S73" i="1"/>
  <c r="T75" i="1" l="1"/>
  <c r="S74" i="1"/>
  <c r="S75" i="1" l="1"/>
  <c r="T76" i="1"/>
  <c r="T77" i="1" l="1"/>
  <c r="S76" i="1"/>
  <c r="S77" i="1" l="1"/>
  <c r="T78" i="1"/>
  <c r="T79" i="1" l="1"/>
  <c r="S78" i="1"/>
  <c r="S79" i="1" l="1"/>
  <c r="T80" i="1"/>
  <c r="S80" i="1" l="1"/>
  <c r="T81" i="1"/>
  <c r="S81" i="1" l="1"/>
  <c r="T82" i="1"/>
  <c r="T83" i="1" l="1"/>
  <c r="S82" i="1"/>
  <c r="S83" i="1" l="1"/>
  <c r="T84" i="1"/>
  <c r="T85" i="1" l="1"/>
  <c r="S84" i="1"/>
  <c r="T86" i="1" l="1"/>
  <c r="S85" i="1"/>
  <c r="T87" i="1" l="1"/>
  <c r="S86" i="1"/>
  <c r="T88" i="1" l="1"/>
  <c r="S87" i="1"/>
  <c r="T89" i="1" l="1"/>
  <c r="S88" i="1"/>
  <c r="S89" i="1" l="1"/>
  <c r="T90" i="1"/>
  <c r="T91" i="1" l="1"/>
  <c r="S90" i="1"/>
  <c r="T92" i="1" l="1"/>
  <c r="S91" i="1"/>
  <c r="T93" i="1" l="1"/>
  <c r="S92" i="1"/>
  <c r="S93" i="1" l="1"/>
  <c r="T94" i="1"/>
  <c r="S94" i="1" l="1"/>
  <c r="T95" i="1"/>
  <c r="S95" i="1" l="1"/>
  <c r="T96" i="1"/>
  <c r="T97" i="1" l="1"/>
  <c r="S96" i="1"/>
  <c r="T98" i="1" l="1"/>
  <c r="S97" i="1"/>
  <c r="T99" i="1" l="1"/>
  <c r="S99" i="1" s="1"/>
  <c r="S98" i="1"/>
</calcChain>
</file>

<file path=xl/sharedStrings.xml><?xml version="1.0" encoding="utf-8"?>
<sst xmlns="http://schemas.openxmlformats.org/spreadsheetml/2006/main" count="128" uniqueCount="119">
  <si>
    <t>ASP Solution</t>
  </si>
  <si>
    <t>Init Charge (%):</t>
  </si>
  <si>
    <t>Max Charge:</t>
  </si>
  <si>
    <t>Minimum storage Level</t>
  </si>
  <si>
    <t>date</t>
  </si>
  <si>
    <t>Discharge(KW)</t>
  </si>
  <si>
    <t>Charge(KW)</t>
  </si>
  <si>
    <t>Production(KW)</t>
  </si>
  <si>
    <t>Consumption(KW)</t>
  </si>
  <si>
    <t>Feed-in(KW)</t>
  </si>
  <si>
    <t>From grid(KW)</t>
  </si>
  <si>
    <t>State of Charge (%)</t>
  </si>
  <si>
    <t>State of Charge (Value)</t>
  </si>
  <si>
    <t>Maximum storage Level</t>
  </si>
  <si>
    <t>2020-01-02 0:00:00</t>
  </si>
  <si>
    <t>Maximum Power (both Charge and Discharge)</t>
  </si>
  <si>
    <t>2020-01-02 0:15:00</t>
  </si>
  <si>
    <t>2020-01-02 0:30:00</t>
  </si>
  <si>
    <t>2020-01-02 0:45:00</t>
  </si>
  <si>
    <t xml:space="preserve">Is Optimal: </t>
  </si>
  <si>
    <t>2020-01-02 1:00:00</t>
  </si>
  <si>
    <t>2020-01-02 1:15:00</t>
  </si>
  <si>
    <t>2020-01-02 1:30:00</t>
  </si>
  <si>
    <t>2020-01-02 1:45:00</t>
  </si>
  <si>
    <t>2020-01-02 2:00:00</t>
  </si>
  <si>
    <t>2020-01-02 2:15:00</t>
  </si>
  <si>
    <t>2020-01-02 2:30:00</t>
  </si>
  <si>
    <t>2020-01-02 2:45:00</t>
  </si>
  <si>
    <t>2020-01-02 3:00:00</t>
  </si>
  <si>
    <t>2020-01-02 3:15:00</t>
  </si>
  <si>
    <t>2020-01-02 3:30:00</t>
  </si>
  <si>
    <t>2020-01-02 3:45:00</t>
  </si>
  <si>
    <t>2020-01-02 4:00:00</t>
  </si>
  <si>
    <t>2020-01-02 4:15:00</t>
  </si>
  <si>
    <t>2020-01-02 4:30:00</t>
  </si>
  <si>
    <t>2020-01-02 4:45:00</t>
  </si>
  <si>
    <t>2020-01-02 5:00:00</t>
  </si>
  <si>
    <t>2020-01-02 5:15:00</t>
  </si>
  <si>
    <t>2020-01-02 5:30:00</t>
  </si>
  <si>
    <t>2020-01-02 5:45:00</t>
  </si>
  <si>
    <t>2020-01-02 6:00:00</t>
  </si>
  <si>
    <t>2020-01-02 6:15:00</t>
  </si>
  <si>
    <t>2020-01-02 6:30:00</t>
  </si>
  <si>
    <t>2020-01-02 6:45:00</t>
  </si>
  <si>
    <t>2020-01-02 7:00:00</t>
  </si>
  <si>
    <t>2020-01-02 7:15:00</t>
  </si>
  <si>
    <t>2020-01-02 7:30:00</t>
  </si>
  <si>
    <t>2020-01-02 7:45:00</t>
  </si>
  <si>
    <t>2020-01-02 8:00:00</t>
  </si>
  <si>
    <t>2020-01-02 8:15:00</t>
  </si>
  <si>
    <t>2020-01-02 8:30:00</t>
  </si>
  <si>
    <t>2020-01-02 8:45:00</t>
  </si>
  <si>
    <t>2020-01-02 9:00:00</t>
  </si>
  <si>
    <t>2020-01-02 9:15:00</t>
  </si>
  <si>
    <t>2020-01-02 9:30:00</t>
  </si>
  <si>
    <t>2020-01-02 9:45:00</t>
  </si>
  <si>
    <t>2020-01-02 10:00:00</t>
  </si>
  <si>
    <t>2020-01-02 10:15:00</t>
  </si>
  <si>
    <t>2020-01-02 10:30:00</t>
  </si>
  <si>
    <t>2020-01-02 10:45:00</t>
  </si>
  <si>
    <t>2020-01-02 11:00:00</t>
  </si>
  <si>
    <t>2020-01-02 11:15:00</t>
  </si>
  <si>
    <t>2020-01-02 11:30:00</t>
  </si>
  <si>
    <t>2020-01-02 11:45:00</t>
  </si>
  <si>
    <t>2020-01-02 12:00:00</t>
  </si>
  <si>
    <t>2020-01-02 12:15:00</t>
  </si>
  <si>
    <t>2020-01-02 12:30:00</t>
  </si>
  <si>
    <t>2020-01-02 12:45:00</t>
  </si>
  <si>
    <t>2020-01-02 13:00:00</t>
  </si>
  <si>
    <t>2020-01-02 13:15:00</t>
  </si>
  <si>
    <t>2020-01-02 13:30:00</t>
  </si>
  <si>
    <t>2020-01-02 13:45:00</t>
  </si>
  <si>
    <t>2020-01-02 14:00:00</t>
  </si>
  <si>
    <t>2020-01-02 14:15:00</t>
  </si>
  <si>
    <t>2020-01-02 14:30:00</t>
  </si>
  <si>
    <t>2020-01-02 14:45:00</t>
  </si>
  <si>
    <t>2020-01-02 15:00:00</t>
  </si>
  <si>
    <t>2020-01-02 15:15:00</t>
  </si>
  <si>
    <t>2020-01-02 15:30:00</t>
  </si>
  <si>
    <t>2020-01-02 15:45:00</t>
  </si>
  <si>
    <t>2020-01-02 16:00:00</t>
  </si>
  <si>
    <t>2020-01-02 16:15:00</t>
  </si>
  <si>
    <t>2020-01-02 16:30:00</t>
  </si>
  <si>
    <t>2020-01-02 16:45:00</t>
  </si>
  <si>
    <t>2020-01-02 17:00:00</t>
  </si>
  <si>
    <t>2020-01-02 17:15:00</t>
  </si>
  <si>
    <t>2020-01-02 17:30:00</t>
  </si>
  <si>
    <t>2020-01-02 17:45:00</t>
  </si>
  <si>
    <t>2020-01-02 18:00:00</t>
  </si>
  <si>
    <t>2020-01-02 18:15:00</t>
  </si>
  <si>
    <t>2020-01-02 18:30:00</t>
  </si>
  <si>
    <t>2020-01-02 18:45:00</t>
  </si>
  <si>
    <t>2020-01-02 19:00:00</t>
  </si>
  <si>
    <t>2020-01-02 19:15:00</t>
  </si>
  <si>
    <t>2020-01-02 19:30:00</t>
  </si>
  <si>
    <t>2020-01-02 19:45:00</t>
  </si>
  <si>
    <t>2020-01-02 20:00:00</t>
  </si>
  <si>
    <t>2020-01-02 20:15:00</t>
  </si>
  <si>
    <t>2020-01-02 20:30:00</t>
  </si>
  <si>
    <t>2020-01-02 20:45:00</t>
  </si>
  <si>
    <t>2020-01-02 21:00:00</t>
  </si>
  <si>
    <t>2020-01-02 21:15:00</t>
  </si>
  <si>
    <t>2020-01-02 21:30:00</t>
  </si>
  <si>
    <t>2020-01-02 21:45:00</t>
  </si>
  <si>
    <t>2020-01-02 22:00:00</t>
  </si>
  <si>
    <t>2020-01-02 22:15:00</t>
  </si>
  <si>
    <t>2020-01-02 22:30:00</t>
  </si>
  <si>
    <t>2020-01-02 22:45:00</t>
  </si>
  <si>
    <t>2020-01-02 23:00:00</t>
  </si>
  <si>
    <t>2020-01-02 23:15:00</t>
  </si>
  <si>
    <t>2020-01-02 23:30:00</t>
  </si>
  <si>
    <t>2020-01-02 23:45:00</t>
  </si>
  <si>
    <t>2020-01-02 24:00:00</t>
  </si>
  <si>
    <t>Algoritmo Greedy: sequenzialmente cerca sempre di usare o caricare la batteria</t>
  </si>
  <si>
    <t>10kWh</t>
  </si>
  <si>
    <t>YES</t>
  </si>
  <si>
    <t>Time</t>
  </si>
  <si>
    <t>0.782s</t>
  </si>
  <si>
    <t>Energia Prodotta dispersa sul mercato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</si>
</sst>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tabSelected="1" workbookViewId="0">
      <selection activeCell="L110" sqref="L110"/>
    </sheetView>
  </sheetViews>
  <sheetFormatPr baseColWidth="10" defaultColWidth="8.83203125" defaultRowHeight="15" x14ac:dyDescent="0.2"/>
  <cols>
    <col min="1" max="1" width="25.83203125" customWidth="1"/>
    <col min="9" max="9" width="17.83203125" customWidth="1"/>
    <col min="10" max="10" width="7" customWidth="1"/>
    <col min="12" max="12" width="24" customWidth="1"/>
    <col min="20" max="20" width="19" customWidth="1"/>
  </cols>
  <sheetData>
    <row r="1" spans="1:29" x14ac:dyDescent="0.2">
      <c r="A1" s="2" t="s">
        <v>113</v>
      </c>
      <c r="B1" s="3"/>
      <c r="C1" s="3"/>
      <c r="D1" s="3"/>
      <c r="E1" s="3"/>
      <c r="F1" s="3"/>
      <c r="G1" s="3"/>
      <c r="H1" s="3"/>
      <c r="I1" s="6"/>
      <c r="J1" s="8"/>
      <c r="L1" s="2" t="s">
        <v>0</v>
      </c>
      <c r="M1" s="3"/>
      <c r="N1" s="3"/>
      <c r="O1" s="3"/>
      <c r="P1" s="3"/>
      <c r="Q1" s="3"/>
      <c r="R1" s="3"/>
      <c r="S1" s="3"/>
      <c r="T1" s="3"/>
      <c r="U1" s="7"/>
      <c r="W1" t="s">
        <v>1</v>
      </c>
      <c r="X1" s="1">
        <v>1</v>
      </c>
      <c r="Y1">
        <v>10000</v>
      </c>
      <c r="Z1" t="s">
        <v>2</v>
      </c>
      <c r="AA1">
        <v>10000</v>
      </c>
      <c r="AB1" t="s">
        <v>3</v>
      </c>
      <c r="AC1" s="1">
        <v>0.2</v>
      </c>
    </row>
    <row r="2" spans="1:29" x14ac:dyDescent="0.2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6" t="s">
        <v>12</v>
      </c>
      <c r="J2" s="8"/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9</v>
      </c>
      <c r="R2" s="3" t="s">
        <v>10</v>
      </c>
      <c r="S2" s="3" t="s">
        <v>11</v>
      </c>
      <c r="T2" s="6" t="s">
        <v>12</v>
      </c>
      <c r="U2" s="8"/>
      <c r="AB2" t="s">
        <v>13</v>
      </c>
      <c r="AC2" s="1">
        <v>1</v>
      </c>
    </row>
    <row r="3" spans="1:29" x14ac:dyDescent="0.2">
      <c r="A3" s="4">
        <v>43832</v>
      </c>
      <c r="B3" s="3">
        <v>0.3</v>
      </c>
      <c r="C3" s="3">
        <v>0</v>
      </c>
      <c r="D3" s="3">
        <v>0</v>
      </c>
      <c r="E3" s="3">
        <v>0.3</v>
      </c>
      <c r="F3" s="3">
        <v>0</v>
      </c>
      <c r="G3" s="3">
        <v>0</v>
      </c>
      <c r="H3" s="3">
        <v>99.997</v>
      </c>
      <c r="I3" s="6">
        <v>9999.7000000000007</v>
      </c>
      <c r="J3" s="8"/>
      <c r="L3" s="3" t="s">
        <v>14</v>
      </c>
      <c r="M3" s="3">
        <v>0.3</v>
      </c>
      <c r="N3" s="3">
        <v>0</v>
      </c>
      <c r="O3" s="3">
        <v>0</v>
      </c>
      <c r="P3" s="3">
        <v>0.3</v>
      </c>
      <c r="Q3" s="3">
        <v>0</v>
      </c>
      <c r="R3" s="3">
        <v>0</v>
      </c>
      <c r="S3" s="5">
        <f>T3/AA$1</f>
        <v>0.99997000000000003</v>
      </c>
      <c r="T3" s="6">
        <f>Y1-M3+N3</f>
        <v>9999.7000000000007</v>
      </c>
      <c r="U3" s="8"/>
      <c r="AB3" t="s">
        <v>15</v>
      </c>
      <c r="AC3" t="s">
        <v>114</v>
      </c>
    </row>
    <row r="4" spans="1:29" x14ac:dyDescent="0.2">
      <c r="A4" s="4">
        <v>43832.010416666657</v>
      </c>
      <c r="B4" s="3">
        <v>4.5399999999999991</v>
      </c>
      <c r="C4" s="3">
        <v>0</v>
      </c>
      <c r="D4" s="3">
        <v>0</v>
      </c>
      <c r="E4" s="3">
        <v>4.5399999999999991</v>
      </c>
      <c r="F4" s="3">
        <v>0</v>
      </c>
      <c r="G4" s="3">
        <v>0</v>
      </c>
      <c r="H4" s="3">
        <v>99.951599999999999</v>
      </c>
      <c r="I4" s="6">
        <v>9995.16</v>
      </c>
      <c r="J4" s="8"/>
      <c r="L4" s="3" t="s">
        <v>16</v>
      </c>
      <c r="M4" s="3">
        <v>4.54</v>
      </c>
      <c r="N4" s="3">
        <v>0</v>
      </c>
      <c r="O4" s="3">
        <v>0</v>
      </c>
      <c r="P4" s="3">
        <v>4.5399999999999991</v>
      </c>
      <c r="Q4" s="3">
        <v>0</v>
      </c>
      <c r="R4" s="3">
        <v>0</v>
      </c>
      <c r="S4" s="5">
        <f>T4/AA$1</f>
        <v>0.99951599999999996</v>
      </c>
      <c r="T4" s="6">
        <f t="shared" ref="T4:T35" si="0">T3-M4+N4</f>
        <v>9995.16</v>
      </c>
      <c r="U4" s="8"/>
    </row>
    <row r="5" spans="1:29" x14ac:dyDescent="0.2">
      <c r="A5" s="4">
        <v>43832.020833333343</v>
      </c>
      <c r="B5" s="3">
        <v>4.6999999999999993</v>
      </c>
      <c r="C5" s="3">
        <v>0</v>
      </c>
      <c r="D5" s="3">
        <v>0</v>
      </c>
      <c r="E5" s="3">
        <v>4.6999999999999993</v>
      </c>
      <c r="F5" s="3">
        <v>0</v>
      </c>
      <c r="G5" s="3">
        <v>0</v>
      </c>
      <c r="H5" s="3">
        <v>99.904599999999988</v>
      </c>
      <c r="I5" s="6">
        <v>9990.4599999999991</v>
      </c>
      <c r="J5" s="8"/>
      <c r="L5" s="3" t="s">
        <v>17</v>
      </c>
      <c r="M5" s="3">
        <v>4.7</v>
      </c>
      <c r="N5" s="3">
        <v>0</v>
      </c>
      <c r="O5" s="3">
        <v>0</v>
      </c>
      <c r="P5" s="3">
        <v>4.6999999999999993</v>
      </c>
      <c r="Q5" s="3">
        <v>0</v>
      </c>
      <c r="R5" s="3">
        <v>0</v>
      </c>
      <c r="S5" s="5">
        <f>T5/AA$1</f>
        <v>0.99904599999999988</v>
      </c>
      <c r="T5" s="6">
        <f t="shared" si="0"/>
        <v>9990.4599999999991</v>
      </c>
      <c r="U5" s="8"/>
    </row>
    <row r="6" spans="1:29" x14ac:dyDescent="0.2">
      <c r="A6" s="4">
        <v>43832.03125</v>
      </c>
      <c r="B6" s="3">
        <v>4.67</v>
      </c>
      <c r="C6" s="3">
        <v>0</v>
      </c>
      <c r="D6" s="3">
        <v>0</v>
      </c>
      <c r="E6" s="3">
        <v>4.67</v>
      </c>
      <c r="F6" s="3">
        <v>0</v>
      </c>
      <c r="G6" s="3">
        <v>0</v>
      </c>
      <c r="H6" s="3">
        <v>99.857899999999987</v>
      </c>
      <c r="I6" s="6">
        <v>9985.7899999999991</v>
      </c>
      <c r="J6" s="8"/>
      <c r="L6" s="3" t="s">
        <v>18</v>
      </c>
      <c r="M6" s="3">
        <v>4.67</v>
      </c>
      <c r="N6" s="3">
        <v>0</v>
      </c>
      <c r="O6" s="3">
        <v>0</v>
      </c>
      <c r="P6" s="3">
        <v>4.67</v>
      </c>
      <c r="Q6" s="3">
        <v>0</v>
      </c>
      <c r="R6" s="3">
        <v>0</v>
      </c>
      <c r="S6" s="5">
        <f>T6/AA$1</f>
        <v>0.99857899999999988</v>
      </c>
      <c r="T6" s="6">
        <f t="shared" si="0"/>
        <v>9985.7899999999991</v>
      </c>
      <c r="U6" s="8"/>
      <c r="V6" t="s">
        <v>19</v>
      </c>
      <c r="W6" t="s">
        <v>115</v>
      </c>
    </row>
    <row r="7" spans="1:29" x14ac:dyDescent="0.2">
      <c r="A7" s="4">
        <v>43832.041666666657</v>
      </c>
      <c r="B7" s="3">
        <v>4.32</v>
      </c>
      <c r="C7" s="3">
        <v>0</v>
      </c>
      <c r="D7" s="3">
        <v>0</v>
      </c>
      <c r="E7" s="3">
        <v>4.32</v>
      </c>
      <c r="F7" s="3">
        <v>0</v>
      </c>
      <c r="G7" s="3">
        <v>0</v>
      </c>
      <c r="H7" s="3">
        <v>99.814699999999988</v>
      </c>
      <c r="I7" s="6">
        <v>9981.4699999999993</v>
      </c>
      <c r="J7" s="8"/>
      <c r="L7" s="3" t="s">
        <v>20</v>
      </c>
      <c r="M7" s="3">
        <v>4.32</v>
      </c>
      <c r="N7" s="3">
        <v>0</v>
      </c>
      <c r="O7" s="3">
        <v>0</v>
      </c>
      <c r="P7" s="3">
        <v>4.32</v>
      </c>
      <c r="Q7" s="3">
        <v>0</v>
      </c>
      <c r="R7" s="3">
        <v>0</v>
      </c>
      <c r="S7" s="5">
        <f>T7/AA$1</f>
        <v>0.9981469999999999</v>
      </c>
      <c r="T7" s="6">
        <f t="shared" si="0"/>
        <v>9981.4699999999993</v>
      </c>
      <c r="U7" s="8"/>
      <c r="V7" t="s">
        <v>116</v>
      </c>
      <c r="W7" t="s">
        <v>117</v>
      </c>
    </row>
    <row r="8" spans="1:29" x14ac:dyDescent="0.2">
      <c r="A8" s="4">
        <v>43832.052083333343</v>
      </c>
      <c r="B8" s="3">
        <v>5.1300000000000008</v>
      </c>
      <c r="C8" s="3">
        <v>0</v>
      </c>
      <c r="D8" s="3">
        <v>0</v>
      </c>
      <c r="E8" s="3">
        <v>5.1300000000000008</v>
      </c>
      <c r="F8" s="3">
        <v>0</v>
      </c>
      <c r="G8" s="3">
        <v>0</v>
      </c>
      <c r="H8" s="3">
        <v>99.763400000000004</v>
      </c>
      <c r="I8" s="6">
        <v>9976.34</v>
      </c>
      <c r="J8" s="8"/>
      <c r="L8" s="3" t="s">
        <v>21</v>
      </c>
      <c r="M8" s="3">
        <v>5.13</v>
      </c>
      <c r="N8" s="3">
        <v>0</v>
      </c>
      <c r="O8" s="3">
        <v>0</v>
      </c>
      <c r="P8" s="3">
        <v>5.1300000000000008</v>
      </c>
      <c r="Q8" s="3">
        <v>0</v>
      </c>
      <c r="R8" s="3">
        <v>0</v>
      </c>
      <c r="S8" s="5">
        <f>T8/AA$1</f>
        <v>0.99763400000000002</v>
      </c>
      <c r="T8" s="6">
        <f t="shared" si="0"/>
        <v>9976.34</v>
      </c>
      <c r="U8" s="8"/>
    </row>
    <row r="9" spans="1:29" x14ac:dyDescent="0.2">
      <c r="A9" s="4">
        <v>43832.0625</v>
      </c>
      <c r="B9" s="3">
        <v>30.96</v>
      </c>
      <c r="C9" s="3">
        <v>0</v>
      </c>
      <c r="D9" s="3">
        <v>0</v>
      </c>
      <c r="E9" s="3">
        <v>30.96</v>
      </c>
      <c r="F9" s="3">
        <v>0</v>
      </c>
      <c r="G9" s="3">
        <v>0</v>
      </c>
      <c r="H9" s="3">
        <v>99.453800000000015</v>
      </c>
      <c r="I9" s="6">
        <v>9945.380000000001</v>
      </c>
      <c r="J9" s="8"/>
      <c r="L9" s="3" t="s">
        <v>22</v>
      </c>
      <c r="M9" s="3">
        <v>30.96</v>
      </c>
      <c r="N9" s="3">
        <v>0</v>
      </c>
      <c r="O9" s="3">
        <v>0</v>
      </c>
      <c r="P9" s="3">
        <v>30.96</v>
      </c>
      <c r="Q9" s="3">
        <v>0</v>
      </c>
      <c r="R9" s="3">
        <v>0</v>
      </c>
      <c r="S9" s="5">
        <f>T9/AA$1</f>
        <v>0.99453800000000014</v>
      </c>
      <c r="T9" s="6">
        <f t="shared" si="0"/>
        <v>9945.380000000001</v>
      </c>
      <c r="U9" s="8"/>
    </row>
    <row r="10" spans="1:29" x14ac:dyDescent="0.2">
      <c r="A10" s="4">
        <v>43832.072916666657</v>
      </c>
      <c r="B10" s="3">
        <v>14.83</v>
      </c>
      <c r="C10" s="3">
        <v>0</v>
      </c>
      <c r="D10" s="3">
        <v>0</v>
      </c>
      <c r="E10" s="3">
        <v>14.83</v>
      </c>
      <c r="F10" s="3">
        <v>0</v>
      </c>
      <c r="G10" s="3">
        <v>0</v>
      </c>
      <c r="H10" s="3">
        <v>99.305500000000009</v>
      </c>
      <c r="I10" s="6">
        <v>9930.5500000000011</v>
      </c>
      <c r="J10" s="8"/>
      <c r="L10" s="3" t="s">
        <v>23</v>
      </c>
      <c r="M10" s="3">
        <v>14.83</v>
      </c>
      <c r="N10" s="3">
        <v>0</v>
      </c>
      <c r="O10" s="3">
        <v>0</v>
      </c>
      <c r="P10" s="3">
        <v>14.83</v>
      </c>
      <c r="Q10" s="3">
        <v>0</v>
      </c>
      <c r="R10" s="3">
        <v>0</v>
      </c>
      <c r="S10" s="5">
        <f>T10/AA$1</f>
        <v>0.99305500000000013</v>
      </c>
      <c r="T10" s="6">
        <f t="shared" si="0"/>
        <v>9930.5500000000011</v>
      </c>
      <c r="U10" s="8"/>
    </row>
    <row r="11" spans="1:29" x14ac:dyDescent="0.2">
      <c r="A11" s="4">
        <v>43832.083333333343</v>
      </c>
      <c r="B11" s="3">
        <v>4.1400000000000006</v>
      </c>
      <c r="C11" s="3">
        <v>0</v>
      </c>
      <c r="D11" s="3">
        <v>0</v>
      </c>
      <c r="E11" s="3">
        <v>4.1400000000000006</v>
      </c>
      <c r="F11" s="3">
        <v>0</v>
      </c>
      <c r="G11" s="3">
        <v>0</v>
      </c>
      <c r="H11" s="3">
        <v>99.264100000000028</v>
      </c>
      <c r="I11" s="6">
        <v>9926.4100000000017</v>
      </c>
      <c r="J11" s="8"/>
      <c r="L11" s="3" t="s">
        <v>24</v>
      </c>
      <c r="M11" s="3">
        <v>4.1399999999999997</v>
      </c>
      <c r="N11" s="3">
        <v>0</v>
      </c>
      <c r="O11" s="3">
        <v>0</v>
      </c>
      <c r="P11" s="3">
        <v>4.1400000000000006</v>
      </c>
      <c r="Q11" s="3">
        <v>0</v>
      </c>
      <c r="R11" s="3">
        <v>0</v>
      </c>
      <c r="S11" s="5">
        <f>T11/AA$1</f>
        <v>0.99264100000000022</v>
      </c>
      <c r="T11" s="6">
        <f t="shared" si="0"/>
        <v>9926.4100000000017</v>
      </c>
      <c r="U11" s="8"/>
    </row>
    <row r="12" spans="1:29" x14ac:dyDescent="0.2">
      <c r="A12" s="4">
        <v>43832.09375</v>
      </c>
      <c r="B12" s="3">
        <v>4.419999999999999</v>
      </c>
      <c r="C12" s="3">
        <v>0</v>
      </c>
      <c r="D12" s="3">
        <v>0</v>
      </c>
      <c r="E12" s="3">
        <v>4.419999999999999</v>
      </c>
      <c r="F12" s="3">
        <v>0</v>
      </c>
      <c r="G12" s="3">
        <v>0</v>
      </c>
      <c r="H12" s="3">
        <v>99.21990000000001</v>
      </c>
      <c r="I12" s="6">
        <v>9921.9900000000016</v>
      </c>
      <c r="J12" s="8"/>
      <c r="L12" s="3" t="s">
        <v>25</v>
      </c>
      <c r="M12" s="3">
        <v>4.42</v>
      </c>
      <c r="N12" s="3">
        <v>0</v>
      </c>
      <c r="O12" s="3">
        <v>0</v>
      </c>
      <c r="P12" s="3">
        <v>4.419999999999999</v>
      </c>
      <c r="Q12" s="3">
        <v>0</v>
      </c>
      <c r="R12" s="3">
        <v>0</v>
      </c>
      <c r="S12" s="5">
        <f>T12/AA$1</f>
        <v>0.99219900000000016</v>
      </c>
      <c r="T12" s="6">
        <f t="shared" si="0"/>
        <v>9921.9900000000016</v>
      </c>
      <c r="U12" s="8"/>
    </row>
    <row r="13" spans="1:29" x14ac:dyDescent="0.2">
      <c r="A13" s="4">
        <v>43832.104166666657</v>
      </c>
      <c r="B13" s="3">
        <v>4.0999999999999996</v>
      </c>
      <c r="C13" s="3">
        <v>0</v>
      </c>
      <c r="D13" s="3">
        <v>0</v>
      </c>
      <c r="E13" s="3">
        <v>4.0999999999999996</v>
      </c>
      <c r="F13" s="3">
        <v>0</v>
      </c>
      <c r="G13" s="3">
        <v>0</v>
      </c>
      <c r="H13" s="3">
        <v>99.178900000000013</v>
      </c>
      <c r="I13" s="6">
        <v>9917.8900000000012</v>
      </c>
      <c r="J13" s="8"/>
      <c r="L13" s="3" t="s">
        <v>26</v>
      </c>
      <c r="M13" s="3">
        <v>4.0999999999999996</v>
      </c>
      <c r="N13" s="3">
        <v>0</v>
      </c>
      <c r="O13" s="3">
        <v>0</v>
      </c>
      <c r="P13" s="3">
        <v>4.0999999999999996</v>
      </c>
      <c r="Q13" s="3">
        <v>0</v>
      </c>
      <c r="R13" s="3">
        <v>0</v>
      </c>
      <c r="S13" s="5">
        <f>T13/AA$1</f>
        <v>0.99178900000000014</v>
      </c>
      <c r="T13" s="6">
        <f t="shared" si="0"/>
        <v>9917.8900000000012</v>
      </c>
      <c r="U13" s="8"/>
    </row>
    <row r="14" spans="1:29" x14ac:dyDescent="0.2">
      <c r="A14" s="4">
        <v>43832.114583333343</v>
      </c>
      <c r="B14" s="3">
        <v>3.91</v>
      </c>
      <c r="C14" s="3">
        <v>0</v>
      </c>
      <c r="D14" s="3">
        <v>0</v>
      </c>
      <c r="E14" s="3">
        <v>3.91</v>
      </c>
      <c r="F14" s="3">
        <v>0</v>
      </c>
      <c r="G14" s="3">
        <v>0</v>
      </c>
      <c r="H14" s="3">
        <v>99.139800000000008</v>
      </c>
      <c r="I14" s="6">
        <v>9913.9800000000014</v>
      </c>
      <c r="J14" s="8"/>
      <c r="L14" s="3" t="s">
        <v>27</v>
      </c>
      <c r="M14" s="3">
        <v>3.91</v>
      </c>
      <c r="N14" s="3">
        <v>0</v>
      </c>
      <c r="O14" s="3">
        <v>0</v>
      </c>
      <c r="P14" s="3">
        <v>3.91</v>
      </c>
      <c r="Q14" s="3">
        <v>0</v>
      </c>
      <c r="R14" s="3">
        <v>0</v>
      </c>
      <c r="S14" s="5">
        <f>T14/AA$1</f>
        <v>0.99139800000000011</v>
      </c>
      <c r="T14" s="6">
        <f t="shared" si="0"/>
        <v>9913.9800000000014</v>
      </c>
      <c r="U14" s="8"/>
    </row>
    <row r="15" spans="1:29" x14ac:dyDescent="0.2">
      <c r="A15" s="4">
        <v>43832.125</v>
      </c>
      <c r="B15" s="3">
        <v>3.85</v>
      </c>
      <c r="C15" s="3">
        <v>0</v>
      </c>
      <c r="D15" s="3">
        <v>0</v>
      </c>
      <c r="E15" s="3">
        <v>3.85</v>
      </c>
      <c r="F15" s="3">
        <v>0</v>
      </c>
      <c r="G15" s="3">
        <v>0</v>
      </c>
      <c r="H15" s="3">
        <v>99.101300000000009</v>
      </c>
      <c r="I15" s="6">
        <v>9910.130000000001</v>
      </c>
      <c r="J15" s="8"/>
      <c r="L15" s="3" t="s">
        <v>28</v>
      </c>
      <c r="M15" s="3">
        <v>3.85</v>
      </c>
      <c r="N15" s="3">
        <v>0</v>
      </c>
      <c r="O15" s="3">
        <v>0</v>
      </c>
      <c r="P15" s="3">
        <v>3.85</v>
      </c>
      <c r="Q15" s="3">
        <v>0</v>
      </c>
      <c r="R15" s="3">
        <v>0</v>
      </c>
      <c r="S15" s="5">
        <f>T15/AA$1</f>
        <v>0.99101300000000014</v>
      </c>
      <c r="T15" s="6">
        <f t="shared" si="0"/>
        <v>9910.130000000001</v>
      </c>
      <c r="U15" s="8"/>
    </row>
    <row r="16" spans="1:29" x14ac:dyDescent="0.2">
      <c r="A16" s="4">
        <v>43832.135416666657</v>
      </c>
      <c r="B16" s="3">
        <v>4.1099999999999994</v>
      </c>
      <c r="C16" s="3">
        <v>0</v>
      </c>
      <c r="D16" s="3">
        <v>0</v>
      </c>
      <c r="E16" s="3">
        <v>4.1099999999999994</v>
      </c>
      <c r="F16" s="3">
        <v>0</v>
      </c>
      <c r="G16" s="3">
        <v>0</v>
      </c>
      <c r="H16" s="3">
        <v>99.060200000000009</v>
      </c>
      <c r="I16" s="6">
        <v>9906.02</v>
      </c>
      <c r="J16" s="8"/>
      <c r="L16" s="3" t="s">
        <v>29</v>
      </c>
      <c r="M16" s="3">
        <v>4.1100000000000003</v>
      </c>
      <c r="N16" s="3">
        <v>0</v>
      </c>
      <c r="O16" s="3">
        <v>0</v>
      </c>
      <c r="P16" s="3">
        <v>4.1099999999999994</v>
      </c>
      <c r="Q16" s="3">
        <v>0</v>
      </c>
      <c r="R16" s="3">
        <v>0</v>
      </c>
      <c r="S16" s="5">
        <f>T16/AA$1</f>
        <v>0.99060200000000009</v>
      </c>
      <c r="T16" s="6">
        <f t="shared" si="0"/>
        <v>9906.02</v>
      </c>
      <c r="U16" s="8"/>
    </row>
    <row r="17" spans="1:21" x14ac:dyDescent="0.2">
      <c r="A17" s="4">
        <v>43832.145833333343</v>
      </c>
      <c r="B17" s="3">
        <v>4.8900000000000006</v>
      </c>
      <c r="C17" s="3">
        <v>0</v>
      </c>
      <c r="D17" s="3">
        <v>0</v>
      </c>
      <c r="E17" s="3">
        <v>4.8900000000000006</v>
      </c>
      <c r="F17" s="3">
        <v>0</v>
      </c>
      <c r="G17" s="3">
        <v>0</v>
      </c>
      <c r="H17" s="3">
        <v>99.01130000000002</v>
      </c>
      <c r="I17" s="6">
        <v>9901.130000000001</v>
      </c>
      <c r="J17" s="8"/>
      <c r="L17" s="3" t="s">
        <v>30</v>
      </c>
      <c r="M17" s="3">
        <v>4.8899999999999997</v>
      </c>
      <c r="N17" s="3">
        <v>0</v>
      </c>
      <c r="O17" s="3">
        <v>0</v>
      </c>
      <c r="P17" s="3">
        <v>4.8900000000000006</v>
      </c>
      <c r="Q17" s="3">
        <v>0</v>
      </c>
      <c r="R17" s="3">
        <v>0</v>
      </c>
      <c r="S17" s="5">
        <f>T17/AA$1</f>
        <v>0.99011300000000013</v>
      </c>
      <c r="T17" s="6">
        <f t="shared" si="0"/>
        <v>9901.130000000001</v>
      </c>
      <c r="U17" s="8"/>
    </row>
    <row r="18" spans="1:21" x14ac:dyDescent="0.2">
      <c r="A18" s="4">
        <v>43832.15625</v>
      </c>
      <c r="B18" s="3">
        <v>3.9700000000000011</v>
      </c>
      <c r="C18" s="3">
        <v>0</v>
      </c>
      <c r="D18" s="3">
        <v>0</v>
      </c>
      <c r="E18" s="3">
        <v>3.9700000000000011</v>
      </c>
      <c r="F18" s="3">
        <v>0</v>
      </c>
      <c r="G18" s="3">
        <v>0</v>
      </c>
      <c r="H18" s="3">
        <v>98.971600000000009</v>
      </c>
      <c r="I18" s="6">
        <v>9897.1600000000017</v>
      </c>
      <c r="J18" s="8"/>
      <c r="L18" s="3" t="s">
        <v>31</v>
      </c>
      <c r="M18" s="3">
        <v>3.97</v>
      </c>
      <c r="N18" s="3">
        <v>0</v>
      </c>
      <c r="O18" s="3">
        <v>0</v>
      </c>
      <c r="P18" s="3">
        <v>3.9700000000000011</v>
      </c>
      <c r="Q18" s="3">
        <v>0</v>
      </c>
      <c r="R18" s="3">
        <v>0</v>
      </c>
      <c r="S18" s="5">
        <f>T18/AA$1</f>
        <v>0.98971600000000015</v>
      </c>
      <c r="T18" s="6">
        <f t="shared" si="0"/>
        <v>9897.1600000000017</v>
      </c>
      <c r="U18" s="8"/>
    </row>
    <row r="19" spans="1:21" x14ac:dyDescent="0.2">
      <c r="A19" s="4">
        <v>43832.166666666657</v>
      </c>
      <c r="B19" s="3">
        <v>4.0599999999999996</v>
      </c>
      <c r="C19" s="3">
        <v>0</v>
      </c>
      <c r="D19" s="3">
        <v>0</v>
      </c>
      <c r="E19" s="3">
        <v>4.0599999999999996</v>
      </c>
      <c r="F19" s="3">
        <v>0</v>
      </c>
      <c r="G19" s="3">
        <v>0</v>
      </c>
      <c r="H19" s="3">
        <v>98.931000000000026</v>
      </c>
      <c r="I19" s="6">
        <v>9893.1000000000022</v>
      </c>
      <c r="J19" s="8"/>
      <c r="L19" s="3" t="s">
        <v>32</v>
      </c>
      <c r="M19" s="3">
        <v>4.0599999999999996</v>
      </c>
      <c r="N19" s="3">
        <v>0</v>
      </c>
      <c r="O19" s="3">
        <v>0</v>
      </c>
      <c r="P19" s="3">
        <v>4.0599999999999996</v>
      </c>
      <c r="Q19" s="3">
        <v>0</v>
      </c>
      <c r="R19" s="3">
        <v>0</v>
      </c>
      <c r="S19" s="5">
        <f>T19/AA$1</f>
        <v>0.98931000000000024</v>
      </c>
      <c r="T19" s="6">
        <f t="shared" si="0"/>
        <v>9893.1000000000022</v>
      </c>
      <c r="U19" s="8"/>
    </row>
    <row r="20" spans="1:21" x14ac:dyDescent="0.2">
      <c r="A20" s="4">
        <v>43832.177083333343</v>
      </c>
      <c r="B20" s="3">
        <v>25.52</v>
      </c>
      <c r="C20" s="3">
        <v>0</v>
      </c>
      <c r="D20" s="3">
        <v>0.05</v>
      </c>
      <c r="E20" s="3">
        <v>25.57</v>
      </c>
      <c r="F20" s="3">
        <v>0</v>
      </c>
      <c r="G20" s="3">
        <v>0</v>
      </c>
      <c r="H20" s="3">
        <v>98.67580000000001</v>
      </c>
      <c r="I20" s="6">
        <v>9867.5800000000017</v>
      </c>
      <c r="J20" s="8"/>
      <c r="L20" s="3" t="s">
        <v>33</v>
      </c>
      <c r="M20" s="3">
        <v>25.52</v>
      </c>
      <c r="N20" s="3">
        <v>0</v>
      </c>
      <c r="O20" s="3">
        <v>0.05</v>
      </c>
      <c r="P20" s="3">
        <v>25.57</v>
      </c>
      <c r="Q20" s="3">
        <v>0</v>
      </c>
      <c r="R20" s="3">
        <v>0</v>
      </c>
      <c r="S20" s="5">
        <f>T20/AA$1</f>
        <v>0.98675800000000014</v>
      </c>
      <c r="T20" s="6">
        <f t="shared" si="0"/>
        <v>9867.5800000000017</v>
      </c>
      <c r="U20" s="8"/>
    </row>
    <row r="21" spans="1:21" x14ac:dyDescent="0.2">
      <c r="A21" s="4">
        <v>43832.1875</v>
      </c>
      <c r="B21" s="3">
        <v>22.06</v>
      </c>
      <c r="C21" s="3">
        <v>0</v>
      </c>
      <c r="D21" s="3">
        <v>0.05</v>
      </c>
      <c r="E21" s="3">
        <v>22.11</v>
      </c>
      <c r="F21" s="3">
        <v>0</v>
      </c>
      <c r="G21" s="3">
        <v>0</v>
      </c>
      <c r="H21" s="3">
        <v>98.455200000000019</v>
      </c>
      <c r="I21" s="6">
        <v>9845.5200000000023</v>
      </c>
      <c r="J21" s="8"/>
      <c r="L21" s="3" t="s">
        <v>34</v>
      </c>
      <c r="M21" s="3">
        <v>22.06</v>
      </c>
      <c r="N21" s="3">
        <v>0</v>
      </c>
      <c r="O21" s="3">
        <v>0.05</v>
      </c>
      <c r="P21" s="3">
        <v>22.11</v>
      </c>
      <c r="Q21" s="3">
        <v>0</v>
      </c>
      <c r="R21" s="3">
        <v>0</v>
      </c>
      <c r="S21" s="5">
        <f>T21/AA$1</f>
        <v>0.9845520000000002</v>
      </c>
      <c r="T21" s="6">
        <f t="shared" si="0"/>
        <v>9845.5200000000023</v>
      </c>
      <c r="U21" s="8"/>
    </row>
    <row r="22" spans="1:21" x14ac:dyDescent="0.2">
      <c r="A22" s="4">
        <v>43832.197916666657</v>
      </c>
      <c r="B22" s="3">
        <v>4.08</v>
      </c>
      <c r="C22" s="3">
        <v>0</v>
      </c>
      <c r="D22" s="3">
        <v>0</v>
      </c>
      <c r="E22" s="3">
        <v>4.08</v>
      </c>
      <c r="F22" s="3">
        <v>0</v>
      </c>
      <c r="G22" s="3">
        <v>0</v>
      </c>
      <c r="H22" s="3">
        <v>98.414400000000029</v>
      </c>
      <c r="I22" s="6">
        <v>9841.4400000000023</v>
      </c>
      <c r="J22" s="8"/>
      <c r="L22" s="3" t="s">
        <v>35</v>
      </c>
      <c r="M22" s="3">
        <v>4.08</v>
      </c>
      <c r="N22" s="3">
        <v>0</v>
      </c>
      <c r="O22" s="3">
        <v>0</v>
      </c>
      <c r="P22" s="3">
        <v>4.08</v>
      </c>
      <c r="Q22" s="3">
        <v>0</v>
      </c>
      <c r="R22" s="3">
        <v>0</v>
      </c>
      <c r="S22" s="5">
        <f>T22/AA$1</f>
        <v>0.98414400000000024</v>
      </c>
      <c r="T22" s="6">
        <f t="shared" si="0"/>
        <v>9841.4400000000023</v>
      </c>
      <c r="U22" s="8"/>
    </row>
    <row r="23" spans="1:21" x14ac:dyDescent="0.2">
      <c r="A23" s="4">
        <v>43832.208333333343</v>
      </c>
      <c r="B23" s="3">
        <v>3.88</v>
      </c>
      <c r="C23" s="3">
        <v>0</v>
      </c>
      <c r="D23" s="3">
        <v>0</v>
      </c>
      <c r="E23" s="3">
        <v>3.88</v>
      </c>
      <c r="F23" s="3">
        <v>0</v>
      </c>
      <c r="G23" s="3">
        <v>0</v>
      </c>
      <c r="H23" s="3">
        <v>98.375600000000034</v>
      </c>
      <c r="I23" s="6">
        <v>9837.5600000000031</v>
      </c>
      <c r="J23" s="8"/>
      <c r="L23" s="3" t="s">
        <v>36</v>
      </c>
      <c r="M23" s="3">
        <v>3.88</v>
      </c>
      <c r="N23" s="3">
        <v>0</v>
      </c>
      <c r="O23" s="3">
        <v>0</v>
      </c>
      <c r="P23" s="3">
        <v>3.88</v>
      </c>
      <c r="Q23" s="3">
        <v>0</v>
      </c>
      <c r="R23" s="3">
        <v>0</v>
      </c>
      <c r="S23" s="5">
        <f>T23/AA$1</f>
        <v>0.9837560000000003</v>
      </c>
      <c r="T23" s="6">
        <f t="shared" si="0"/>
        <v>9837.5600000000031</v>
      </c>
      <c r="U23" s="8"/>
    </row>
    <row r="24" spans="1:21" x14ac:dyDescent="0.2">
      <c r="A24" s="4">
        <v>43832.21875</v>
      </c>
      <c r="B24" s="3">
        <v>3.95</v>
      </c>
      <c r="C24" s="3">
        <v>0</v>
      </c>
      <c r="D24" s="3">
        <v>0</v>
      </c>
      <c r="E24" s="3">
        <v>3.95</v>
      </c>
      <c r="F24" s="3">
        <v>0</v>
      </c>
      <c r="G24" s="3">
        <v>0</v>
      </c>
      <c r="H24" s="3">
        <v>98.33610000000003</v>
      </c>
      <c r="I24" s="6">
        <v>9833.6100000000024</v>
      </c>
      <c r="J24" s="8"/>
      <c r="L24" s="3" t="s">
        <v>37</v>
      </c>
      <c r="M24" s="3">
        <v>3.95</v>
      </c>
      <c r="N24" s="3">
        <v>0</v>
      </c>
      <c r="O24" s="3">
        <v>0</v>
      </c>
      <c r="P24" s="3">
        <v>3.95</v>
      </c>
      <c r="Q24" s="3">
        <v>0</v>
      </c>
      <c r="R24" s="3">
        <v>0</v>
      </c>
      <c r="S24" s="5">
        <f>T24/AA$1</f>
        <v>0.98336100000000026</v>
      </c>
      <c r="T24" s="6">
        <f t="shared" si="0"/>
        <v>9833.6100000000024</v>
      </c>
      <c r="U24" s="8"/>
    </row>
    <row r="25" spans="1:21" x14ac:dyDescent="0.2">
      <c r="A25" s="4">
        <v>43832.229166666657</v>
      </c>
      <c r="B25" s="3">
        <v>4.120000000000001</v>
      </c>
      <c r="C25" s="3">
        <v>0</v>
      </c>
      <c r="D25" s="3">
        <v>0</v>
      </c>
      <c r="E25" s="3">
        <v>4.120000000000001</v>
      </c>
      <c r="F25" s="3">
        <v>0</v>
      </c>
      <c r="G25" s="3">
        <v>0</v>
      </c>
      <c r="H25" s="3">
        <v>98.294900000000013</v>
      </c>
      <c r="I25" s="6">
        <v>9829.4900000000016</v>
      </c>
      <c r="J25" s="8"/>
      <c r="L25" s="3" t="s">
        <v>38</v>
      </c>
      <c r="M25" s="3">
        <v>4.12</v>
      </c>
      <c r="N25" s="3">
        <v>0</v>
      </c>
      <c r="O25" s="3">
        <v>0</v>
      </c>
      <c r="P25" s="3">
        <v>4.120000000000001</v>
      </c>
      <c r="Q25" s="3">
        <v>0</v>
      </c>
      <c r="R25" s="3">
        <v>0</v>
      </c>
      <c r="S25" s="5">
        <f>T25/AA$1</f>
        <v>0.98294900000000018</v>
      </c>
      <c r="T25" s="6">
        <f t="shared" si="0"/>
        <v>9829.4900000000016</v>
      </c>
      <c r="U25" s="8"/>
    </row>
    <row r="26" spans="1:21" x14ac:dyDescent="0.2">
      <c r="A26" s="4">
        <v>43832.239583333343</v>
      </c>
      <c r="B26" s="3">
        <v>4.1000000000000014</v>
      </c>
      <c r="C26" s="3">
        <v>0</v>
      </c>
      <c r="D26" s="3">
        <v>0</v>
      </c>
      <c r="E26" s="3">
        <v>4.1000000000000014</v>
      </c>
      <c r="F26" s="3">
        <v>0</v>
      </c>
      <c r="G26" s="3">
        <v>0</v>
      </c>
      <c r="H26" s="3">
        <v>98.253900000000016</v>
      </c>
      <c r="I26" s="6">
        <v>9825.3900000000012</v>
      </c>
      <c r="J26" s="8"/>
      <c r="L26" s="3" t="s">
        <v>39</v>
      </c>
      <c r="M26" s="3">
        <v>4.0999999999999996</v>
      </c>
      <c r="N26" s="3">
        <v>0</v>
      </c>
      <c r="O26" s="3">
        <v>0</v>
      </c>
      <c r="P26" s="3">
        <v>4.1000000000000014</v>
      </c>
      <c r="Q26" s="3">
        <v>0</v>
      </c>
      <c r="R26" s="3">
        <v>0</v>
      </c>
      <c r="S26" s="5">
        <f>T26/AA$1</f>
        <v>0.98253900000000016</v>
      </c>
      <c r="T26" s="6">
        <f t="shared" si="0"/>
        <v>9825.3900000000012</v>
      </c>
      <c r="U26" s="8"/>
    </row>
    <row r="27" spans="1:21" x14ac:dyDescent="0.2">
      <c r="A27" s="4">
        <v>43832.25</v>
      </c>
      <c r="B27" s="3">
        <v>4.1900000000000022</v>
      </c>
      <c r="C27" s="3">
        <v>0</v>
      </c>
      <c r="D27" s="3">
        <v>0</v>
      </c>
      <c r="E27" s="3">
        <v>4.1900000000000022</v>
      </c>
      <c r="F27" s="3">
        <v>0</v>
      </c>
      <c r="G27" s="3">
        <v>0</v>
      </c>
      <c r="H27" s="3">
        <v>98.212000000000018</v>
      </c>
      <c r="I27" s="6">
        <v>9821.2000000000007</v>
      </c>
      <c r="J27" s="8"/>
      <c r="L27" s="3" t="s">
        <v>40</v>
      </c>
      <c r="M27" s="3">
        <v>4.1900000000000004</v>
      </c>
      <c r="N27" s="3">
        <v>0</v>
      </c>
      <c r="O27" s="3">
        <v>0</v>
      </c>
      <c r="P27" s="3">
        <v>4.1900000000000022</v>
      </c>
      <c r="Q27" s="3">
        <v>0</v>
      </c>
      <c r="R27" s="3">
        <v>0</v>
      </c>
      <c r="S27" s="5">
        <f>T27/AA$1</f>
        <v>0.9821200000000001</v>
      </c>
      <c r="T27" s="6">
        <f t="shared" si="0"/>
        <v>9821.2000000000007</v>
      </c>
      <c r="U27" s="8"/>
    </row>
    <row r="28" spans="1:21" x14ac:dyDescent="0.2">
      <c r="A28" s="4">
        <v>43832.260416666657</v>
      </c>
      <c r="B28" s="3">
        <v>4.1300000000000008</v>
      </c>
      <c r="C28" s="3">
        <v>0</v>
      </c>
      <c r="D28" s="3">
        <v>0</v>
      </c>
      <c r="E28" s="3">
        <v>4.1300000000000008</v>
      </c>
      <c r="F28" s="3">
        <v>0</v>
      </c>
      <c r="G28" s="3">
        <v>0</v>
      </c>
      <c r="H28" s="3">
        <v>98.170700000000011</v>
      </c>
      <c r="I28" s="6">
        <v>9817.0700000000015</v>
      </c>
      <c r="J28" s="8"/>
      <c r="L28" s="3" t="s">
        <v>41</v>
      </c>
      <c r="M28" s="3">
        <v>4.13</v>
      </c>
      <c r="N28" s="3">
        <v>0</v>
      </c>
      <c r="O28" s="3">
        <v>0</v>
      </c>
      <c r="P28" s="3">
        <v>4.1300000000000008</v>
      </c>
      <c r="Q28" s="3">
        <v>0</v>
      </c>
      <c r="R28" s="3">
        <v>0</v>
      </c>
      <c r="S28" s="5">
        <f>T28/AA$1</f>
        <v>0.98170700000000011</v>
      </c>
      <c r="T28" s="6">
        <f t="shared" si="0"/>
        <v>9817.0700000000015</v>
      </c>
      <c r="U28" s="8"/>
    </row>
    <row r="29" spans="1:21" x14ac:dyDescent="0.2">
      <c r="A29" s="4">
        <v>43832.270833333343</v>
      </c>
      <c r="B29" s="3">
        <v>4.2400000000000011</v>
      </c>
      <c r="C29" s="3">
        <v>0</v>
      </c>
      <c r="D29" s="3">
        <v>0</v>
      </c>
      <c r="E29" s="3">
        <v>4.2400000000000011</v>
      </c>
      <c r="F29" s="3">
        <v>0</v>
      </c>
      <c r="G29" s="3">
        <v>0</v>
      </c>
      <c r="H29" s="3">
        <v>98.12830000000001</v>
      </c>
      <c r="I29" s="6">
        <v>9812.8300000000017</v>
      </c>
      <c r="J29" s="8"/>
      <c r="L29" s="3" t="s">
        <v>42</v>
      </c>
      <c r="M29" s="3">
        <v>4.24</v>
      </c>
      <c r="N29" s="3">
        <v>0</v>
      </c>
      <c r="O29" s="3">
        <v>0</v>
      </c>
      <c r="P29" s="3">
        <v>4.2400000000000011</v>
      </c>
      <c r="Q29" s="3">
        <v>0</v>
      </c>
      <c r="R29" s="3">
        <v>0</v>
      </c>
      <c r="S29" s="5">
        <f>T29/AA$1</f>
        <v>0.98128300000000013</v>
      </c>
      <c r="T29" s="6">
        <f t="shared" si="0"/>
        <v>9812.8300000000017</v>
      </c>
      <c r="U29" s="8"/>
    </row>
    <row r="30" spans="1:21" x14ac:dyDescent="0.2">
      <c r="A30" s="4">
        <v>43832.28125</v>
      </c>
      <c r="B30" s="3">
        <v>4.2100000000000017</v>
      </c>
      <c r="C30" s="3">
        <v>0</v>
      </c>
      <c r="D30" s="3">
        <v>0</v>
      </c>
      <c r="E30" s="3">
        <v>4.2100000000000017</v>
      </c>
      <c r="F30" s="3">
        <v>0</v>
      </c>
      <c r="G30" s="3">
        <v>0</v>
      </c>
      <c r="H30" s="3">
        <v>98.086200000000019</v>
      </c>
      <c r="I30" s="6">
        <v>9808.6200000000026</v>
      </c>
      <c r="J30" s="8"/>
      <c r="L30" s="3" t="s">
        <v>43</v>
      </c>
      <c r="M30" s="3">
        <v>4.21</v>
      </c>
      <c r="N30" s="3">
        <v>0</v>
      </c>
      <c r="O30" s="3">
        <v>0</v>
      </c>
      <c r="P30" s="3">
        <v>4.2100000000000017</v>
      </c>
      <c r="Q30" s="3">
        <v>0</v>
      </c>
      <c r="R30" s="3">
        <v>0</v>
      </c>
      <c r="S30" s="5">
        <f>T30/AA$1</f>
        <v>0.98086200000000023</v>
      </c>
      <c r="T30" s="6">
        <f t="shared" si="0"/>
        <v>9808.6200000000026</v>
      </c>
      <c r="U30" s="8"/>
    </row>
    <row r="31" spans="1:21" x14ac:dyDescent="0.2">
      <c r="A31" s="4">
        <v>43832.291666666657</v>
      </c>
      <c r="B31" s="3">
        <v>15.36</v>
      </c>
      <c r="C31" s="3">
        <v>0</v>
      </c>
      <c r="D31" s="3">
        <v>0</v>
      </c>
      <c r="E31" s="3">
        <v>15.36</v>
      </c>
      <c r="F31" s="3">
        <v>0</v>
      </c>
      <c r="G31" s="3">
        <v>0</v>
      </c>
      <c r="H31" s="3">
        <v>97.932600000000022</v>
      </c>
      <c r="I31" s="6">
        <v>9793.260000000002</v>
      </c>
      <c r="J31" s="8"/>
      <c r="L31" s="3" t="s">
        <v>44</v>
      </c>
      <c r="M31" s="3">
        <v>15.36</v>
      </c>
      <c r="N31" s="3">
        <v>0</v>
      </c>
      <c r="O31" s="3">
        <v>0</v>
      </c>
      <c r="P31" s="3">
        <v>15.36</v>
      </c>
      <c r="Q31" s="3">
        <v>0</v>
      </c>
      <c r="R31" s="3">
        <v>0</v>
      </c>
      <c r="S31" s="5">
        <f>T31/AA$1</f>
        <v>0.97932600000000025</v>
      </c>
      <c r="T31" s="6">
        <f t="shared" si="0"/>
        <v>9793.260000000002</v>
      </c>
      <c r="U31" s="8"/>
    </row>
    <row r="32" spans="1:21" x14ac:dyDescent="0.2">
      <c r="A32" s="4">
        <v>43832.302083333343</v>
      </c>
      <c r="B32" s="3">
        <v>29.56</v>
      </c>
      <c r="C32" s="3">
        <v>0</v>
      </c>
      <c r="D32" s="3">
        <v>0</v>
      </c>
      <c r="E32" s="3">
        <v>29.56</v>
      </c>
      <c r="F32" s="3">
        <v>0</v>
      </c>
      <c r="G32" s="3">
        <v>0</v>
      </c>
      <c r="H32" s="3">
        <v>97.637000000000029</v>
      </c>
      <c r="I32" s="6">
        <v>9763.7000000000025</v>
      </c>
      <c r="J32" s="8"/>
      <c r="L32" s="3" t="s">
        <v>45</v>
      </c>
      <c r="M32" s="3">
        <v>29.56</v>
      </c>
      <c r="N32" s="3">
        <v>0</v>
      </c>
      <c r="O32" s="3">
        <v>0</v>
      </c>
      <c r="P32" s="3">
        <v>29.56</v>
      </c>
      <c r="Q32" s="3">
        <v>0</v>
      </c>
      <c r="R32" s="3">
        <v>0</v>
      </c>
      <c r="S32" s="5">
        <f>T32/AA$1</f>
        <v>0.97637000000000029</v>
      </c>
      <c r="T32" s="6">
        <f t="shared" si="0"/>
        <v>9763.7000000000025</v>
      </c>
      <c r="U32" s="8"/>
    </row>
    <row r="33" spans="1:21" x14ac:dyDescent="0.2">
      <c r="A33" s="4">
        <v>43832.3125</v>
      </c>
      <c r="B33" s="3">
        <v>6.0500000000000016</v>
      </c>
      <c r="C33" s="3">
        <v>0</v>
      </c>
      <c r="D33" s="3">
        <v>0</v>
      </c>
      <c r="E33" s="3">
        <v>6.0500000000000016</v>
      </c>
      <c r="F33" s="3">
        <v>0</v>
      </c>
      <c r="G33" s="3">
        <v>0</v>
      </c>
      <c r="H33" s="3">
        <v>97.576500000000038</v>
      </c>
      <c r="I33" s="6">
        <v>9757.6500000000033</v>
      </c>
      <c r="J33" s="8"/>
      <c r="L33" s="3" t="s">
        <v>46</v>
      </c>
      <c r="M33" s="3">
        <v>6.05</v>
      </c>
      <c r="N33" s="3">
        <v>0</v>
      </c>
      <c r="O33" s="3">
        <v>0</v>
      </c>
      <c r="P33" s="3">
        <v>6.0500000000000016</v>
      </c>
      <c r="Q33" s="3">
        <v>0</v>
      </c>
      <c r="R33" s="3">
        <v>0</v>
      </c>
      <c r="S33" s="5">
        <f>T33/AA$1</f>
        <v>0.97576500000000033</v>
      </c>
      <c r="T33" s="6">
        <f t="shared" si="0"/>
        <v>9757.6500000000033</v>
      </c>
      <c r="U33" s="8"/>
    </row>
    <row r="34" spans="1:21" x14ac:dyDescent="0.2">
      <c r="A34" s="4">
        <v>43832.322916666657</v>
      </c>
      <c r="B34" s="3">
        <v>4.1500000000000004</v>
      </c>
      <c r="C34" s="3">
        <v>0</v>
      </c>
      <c r="D34" s="3">
        <v>0</v>
      </c>
      <c r="E34" s="3">
        <v>4.1500000000000004</v>
      </c>
      <c r="F34" s="3">
        <v>0</v>
      </c>
      <c r="G34" s="3">
        <v>0</v>
      </c>
      <c r="H34" s="3">
        <v>97.535000000000039</v>
      </c>
      <c r="I34" s="6">
        <v>9753.5000000000036</v>
      </c>
      <c r="J34" s="8"/>
      <c r="L34" s="3" t="s">
        <v>47</v>
      </c>
      <c r="M34" s="3">
        <v>4.1500000000000004</v>
      </c>
      <c r="N34" s="3">
        <v>0</v>
      </c>
      <c r="O34" s="3">
        <v>0</v>
      </c>
      <c r="P34" s="3">
        <v>4.1500000000000004</v>
      </c>
      <c r="Q34" s="3">
        <v>0</v>
      </c>
      <c r="R34" s="3">
        <v>0</v>
      </c>
      <c r="S34" s="5">
        <f>T34/AA$1</f>
        <v>0.97535000000000038</v>
      </c>
      <c r="T34" s="6">
        <f t="shared" si="0"/>
        <v>9753.5000000000036</v>
      </c>
      <c r="U34" s="8"/>
    </row>
    <row r="35" spans="1:21" x14ac:dyDescent="0.2">
      <c r="A35" s="4">
        <v>43832.333333333343</v>
      </c>
      <c r="B35" s="3">
        <v>4.07</v>
      </c>
      <c r="C35" s="3">
        <v>0</v>
      </c>
      <c r="D35" s="3">
        <v>0</v>
      </c>
      <c r="E35" s="3">
        <v>4.07</v>
      </c>
      <c r="F35" s="3">
        <v>0</v>
      </c>
      <c r="G35" s="3">
        <v>0</v>
      </c>
      <c r="H35" s="3">
        <v>97.494300000000038</v>
      </c>
      <c r="I35" s="6">
        <v>9749.4300000000039</v>
      </c>
      <c r="J35" s="8"/>
      <c r="L35" s="3" t="s">
        <v>48</v>
      </c>
      <c r="M35" s="3">
        <v>4.07</v>
      </c>
      <c r="N35" s="3">
        <v>0</v>
      </c>
      <c r="O35" s="3">
        <v>0</v>
      </c>
      <c r="P35" s="3">
        <v>4.07</v>
      </c>
      <c r="Q35" s="3">
        <v>0</v>
      </c>
      <c r="R35" s="3">
        <v>0</v>
      </c>
      <c r="S35" s="5">
        <f>T35/AA$1</f>
        <v>0.97494300000000045</v>
      </c>
      <c r="T35" s="6">
        <f t="shared" si="0"/>
        <v>9749.4300000000039</v>
      </c>
      <c r="U35" s="8"/>
    </row>
    <row r="36" spans="1:21" x14ac:dyDescent="0.2">
      <c r="A36" s="4">
        <v>43832.34375</v>
      </c>
      <c r="B36" s="3">
        <v>3.95</v>
      </c>
      <c r="C36" s="3">
        <v>0</v>
      </c>
      <c r="D36" s="3">
        <v>0</v>
      </c>
      <c r="E36" s="3">
        <v>3.95</v>
      </c>
      <c r="F36" s="3">
        <v>0</v>
      </c>
      <c r="G36" s="3">
        <v>0</v>
      </c>
      <c r="H36" s="3">
        <v>97.454800000000034</v>
      </c>
      <c r="I36" s="6">
        <v>9745.4800000000032</v>
      </c>
      <c r="J36" s="8"/>
      <c r="L36" s="3" t="s">
        <v>49</v>
      </c>
      <c r="M36" s="3">
        <v>3.95</v>
      </c>
      <c r="N36" s="3">
        <v>0</v>
      </c>
      <c r="O36" s="3">
        <v>0</v>
      </c>
      <c r="P36" s="3">
        <v>3.95</v>
      </c>
      <c r="Q36" s="3">
        <v>0</v>
      </c>
      <c r="R36" s="3">
        <v>0</v>
      </c>
      <c r="S36" s="5">
        <f>T36/AA$1</f>
        <v>0.9745480000000003</v>
      </c>
      <c r="T36" s="6">
        <f t="shared" ref="T36:T67" si="1">T35-M36+N36</f>
        <v>9745.4800000000032</v>
      </c>
      <c r="U36" s="8"/>
    </row>
    <row r="37" spans="1:21" x14ac:dyDescent="0.2">
      <c r="A37" s="4">
        <v>43832.354166666657</v>
      </c>
      <c r="B37" s="3">
        <v>4.1900000000000004</v>
      </c>
      <c r="C37" s="3">
        <v>0</v>
      </c>
      <c r="D37" s="3">
        <v>0</v>
      </c>
      <c r="E37" s="3">
        <v>4.1900000000000004</v>
      </c>
      <c r="F37" s="3">
        <v>0</v>
      </c>
      <c r="G37" s="3">
        <v>0</v>
      </c>
      <c r="H37" s="3">
        <v>97.412900000000022</v>
      </c>
      <c r="I37" s="6">
        <v>9741.2900000000027</v>
      </c>
      <c r="J37" s="8"/>
      <c r="L37" s="3" t="s">
        <v>50</v>
      </c>
      <c r="M37" s="3">
        <v>4.1900000000000004</v>
      </c>
      <c r="N37" s="3">
        <v>0</v>
      </c>
      <c r="O37" s="3">
        <v>0</v>
      </c>
      <c r="P37" s="3">
        <v>4.1900000000000004</v>
      </c>
      <c r="Q37" s="3">
        <v>0</v>
      </c>
      <c r="R37" s="3">
        <v>0</v>
      </c>
      <c r="S37" s="5">
        <f>T37/AA$1</f>
        <v>0.97412900000000024</v>
      </c>
      <c r="T37" s="6">
        <f t="shared" si="1"/>
        <v>9741.2900000000027</v>
      </c>
      <c r="U37" s="8"/>
    </row>
    <row r="38" spans="1:21" x14ac:dyDescent="0.2">
      <c r="A38" s="4">
        <v>43832.364583333343</v>
      </c>
      <c r="B38" s="3">
        <v>2.830000000000001</v>
      </c>
      <c r="C38" s="3">
        <v>0</v>
      </c>
      <c r="D38" s="3">
        <v>0</v>
      </c>
      <c r="E38" s="3">
        <v>2.830000000000001</v>
      </c>
      <c r="F38" s="3">
        <v>0</v>
      </c>
      <c r="G38" s="3">
        <v>0</v>
      </c>
      <c r="H38" s="3">
        <v>97.384600000000034</v>
      </c>
      <c r="I38" s="6">
        <v>9738.4600000000028</v>
      </c>
      <c r="J38" s="8"/>
      <c r="L38" s="3" t="s">
        <v>51</v>
      </c>
      <c r="M38" s="3">
        <v>2.83</v>
      </c>
      <c r="N38" s="3">
        <v>0</v>
      </c>
      <c r="O38" s="3">
        <v>0</v>
      </c>
      <c r="P38" s="3">
        <v>2.830000000000001</v>
      </c>
      <c r="Q38" s="3">
        <v>0</v>
      </c>
      <c r="R38" s="3">
        <v>0</v>
      </c>
      <c r="S38" s="5">
        <f>T38/AA$1</f>
        <v>0.97384600000000032</v>
      </c>
      <c r="T38" s="6">
        <f t="shared" si="1"/>
        <v>9738.4600000000028</v>
      </c>
      <c r="U38" s="8"/>
    </row>
    <row r="39" spans="1:21" x14ac:dyDescent="0.2">
      <c r="A39" s="4">
        <v>43832.375</v>
      </c>
      <c r="B39" s="3">
        <v>0.76000000000000023</v>
      </c>
      <c r="C39" s="3">
        <v>0</v>
      </c>
      <c r="D39" s="3">
        <v>0.03</v>
      </c>
      <c r="E39" s="3">
        <v>0.79000000000000026</v>
      </c>
      <c r="F39" s="3">
        <v>0</v>
      </c>
      <c r="G39" s="3">
        <v>0</v>
      </c>
      <c r="H39" s="3">
        <v>97.377000000000024</v>
      </c>
      <c r="I39" s="6">
        <v>9737.7000000000025</v>
      </c>
      <c r="J39" s="8"/>
      <c r="L39" s="3" t="s">
        <v>52</v>
      </c>
      <c r="M39" s="3">
        <v>0.76</v>
      </c>
      <c r="N39" s="3">
        <v>0</v>
      </c>
      <c r="O39" s="3">
        <v>0.03</v>
      </c>
      <c r="P39" s="3">
        <v>0.79000000000000026</v>
      </c>
      <c r="Q39" s="3">
        <v>0</v>
      </c>
      <c r="R39" s="3">
        <v>0</v>
      </c>
      <c r="S39" s="5">
        <f>T39/AA$1</f>
        <v>0.97377000000000025</v>
      </c>
      <c r="T39" s="6">
        <f t="shared" si="1"/>
        <v>9737.7000000000025</v>
      </c>
      <c r="U39" s="8"/>
    </row>
    <row r="40" spans="1:21" x14ac:dyDescent="0.2">
      <c r="A40" s="4">
        <v>43832.385416666657</v>
      </c>
      <c r="B40" s="3">
        <v>1.0900000000000001</v>
      </c>
      <c r="C40" s="3">
        <v>0</v>
      </c>
      <c r="D40" s="3">
        <v>0.41</v>
      </c>
      <c r="E40" s="3">
        <v>1.5</v>
      </c>
      <c r="F40" s="3">
        <v>0</v>
      </c>
      <c r="G40" s="3">
        <v>0</v>
      </c>
      <c r="H40" s="3">
        <v>97.366100000000017</v>
      </c>
      <c r="I40" s="6">
        <v>9736.6100000000024</v>
      </c>
      <c r="J40" s="8"/>
      <c r="L40" s="3" t="s">
        <v>53</v>
      </c>
      <c r="M40" s="3">
        <v>1.0900000000000001</v>
      </c>
      <c r="N40" s="3">
        <v>0</v>
      </c>
      <c r="O40" s="3">
        <v>0.41</v>
      </c>
      <c r="P40" s="3">
        <v>1.5</v>
      </c>
      <c r="Q40" s="3">
        <v>0</v>
      </c>
      <c r="R40" s="3">
        <v>0</v>
      </c>
      <c r="S40" s="5">
        <f>T40/AA$1</f>
        <v>0.97366100000000022</v>
      </c>
      <c r="T40" s="6">
        <f t="shared" si="1"/>
        <v>9736.6100000000024</v>
      </c>
      <c r="U40" s="8"/>
    </row>
    <row r="41" spans="1:21" x14ac:dyDescent="0.2">
      <c r="A41" s="4">
        <v>43832.395833333343</v>
      </c>
      <c r="B41" s="3">
        <v>2.76</v>
      </c>
      <c r="C41" s="3">
        <v>0</v>
      </c>
      <c r="D41" s="3">
        <v>7.0000000000000007E-2</v>
      </c>
      <c r="E41" s="3">
        <v>2.83</v>
      </c>
      <c r="F41" s="3">
        <v>0</v>
      </c>
      <c r="G41" s="3">
        <v>0</v>
      </c>
      <c r="H41" s="3">
        <v>97.33850000000001</v>
      </c>
      <c r="I41" s="6">
        <v>9733.8500000000022</v>
      </c>
      <c r="J41" s="8"/>
      <c r="L41" s="3" t="s">
        <v>54</v>
      </c>
      <c r="M41" s="3">
        <v>2.76</v>
      </c>
      <c r="N41" s="3">
        <v>0</v>
      </c>
      <c r="O41" s="3">
        <v>7.0000000000000007E-2</v>
      </c>
      <c r="P41" s="3">
        <v>2.83</v>
      </c>
      <c r="Q41" s="3">
        <v>0</v>
      </c>
      <c r="R41" s="3">
        <v>0</v>
      </c>
      <c r="S41" s="5">
        <f>T41/AA$1</f>
        <v>0.97338500000000017</v>
      </c>
      <c r="T41" s="6">
        <f t="shared" si="1"/>
        <v>9733.8500000000022</v>
      </c>
      <c r="U41" s="8"/>
    </row>
    <row r="42" spans="1:21" x14ac:dyDescent="0.2">
      <c r="A42" s="4">
        <v>43832.40625</v>
      </c>
      <c r="B42" s="3">
        <v>7.1599999999999993</v>
      </c>
      <c r="C42" s="3">
        <v>0</v>
      </c>
      <c r="D42" s="3">
        <v>2.54</v>
      </c>
      <c r="E42" s="3">
        <v>9.6999999999999993</v>
      </c>
      <c r="F42" s="3">
        <v>0</v>
      </c>
      <c r="G42" s="3">
        <v>0</v>
      </c>
      <c r="H42" s="3">
        <v>97.266900000000021</v>
      </c>
      <c r="I42" s="6">
        <v>9726.6900000000023</v>
      </c>
      <c r="J42" s="8"/>
      <c r="L42" s="3" t="s">
        <v>55</v>
      </c>
      <c r="M42" s="3">
        <v>7.16</v>
      </c>
      <c r="N42" s="3">
        <v>0</v>
      </c>
      <c r="O42" s="3">
        <v>2.54</v>
      </c>
      <c r="P42" s="3">
        <v>9.6999999999999993</v>
      </c>
      <c r="Q42" s="3">
        <v>0</v>
      </c>
      <c r="R42" s="3">
        <v>0</v>
      </c>
      <c r="S42" s="5">
        <f>T42/AA$1</f>
        <v>0.97266900000000023</v>
      </c>
      <c r="T42" s="6">
        <f t="shared" si="1"/>
        <v>9726.6900000000023</v>
      </c>
      <c r="U42" s="8"/>
    </row>
    <row r="43" spans="1:21" x14ac:dyDescent="0.2">
      <c r="A43" s="4">
        <v>43832.416666666657</v>
      </c>
      <c r="B43" s="3">
        <v>10.98</v>
      </c>
      <c r="C43" s="3">
        <v>0</v>
      </c>
      <c r="D43" s="3">
        <v>18.21</v>
      </c>
      <c r="E43" s="3">
        <v>29.19</v>
      </c>
      <c r="F43" s="3">
        <v>0</v>
      </c>
      <c r="G43" s="3">
        <v>0</v>
      </c>
      <c r="H43" s="3">
        <v>97.157100000000028</v>
      </c>
      <c r="I43" s="6">
        <v>9715.7100000000028</v>
      </c>
      <c r="J43" s="8"/>
      <c r="L43" s="3" t="s">
        <v>56</v>
      </c>
      <c r="M43" s="3">
        <v>10.98</v>
      </c>
      <c r="N43" s="3">
        <v>0</v>
      </c>
      <c r="O43" s="3">
        <v>18.21</v>
      </c>
      <c r="P43" s="3">
        <v>29.19</v>
      </c>
      <c r="Q43" s="3">
        <v>0</v>
      </c>
      <c r="R43" s="3">
        <v>0</v>
      </c>
      <c r="S43" s="5">
        <f>T43/AA$1</f>
        <v>0.9715710000000003</v>
      </c>
      <c r="T43" s="6">
        <f t="shared" si="1"/>
        <v>9715.7100000000028</v>
      </c>
      <c r="U43" s="8"/>
    </row>
    <row r="44" spans="1:21" x14ac:dyDescent="0.2">
      <c r="A44" s="4">
        <v>43832.427083333343</v>
      </c>
      <c r="B44" s="3">
        <v>0</v>
      </c>
      <c r="C44" s="3">
        <v>18.21</v>
      </c>
      <c r="D44" s="3">
        <v>24.15</v>
      </c>
      <c r="E44" s="3">
        <v>5.94</v>
      </c>
      <c r="F44" s="3">
        <v>0</v>
      </c>
      <c r="G44" s="3">
        <v>0</v>
      </c>
      <c r="H44" s="3">
        <v>97.339200000000019</v>
      </c>
      <c r="I44" s="6">
        <v>9733.9200000000019</v>
      </c>
      <c r="J44" s="8"/>
      <c r="L44" s="3" t="s">
        <v>57</v>
      </c>
      <c r="M44" s="3">
        <v>0</v>
      </c>
      <c r="N44" s="3">
        <v>0</v>
      </c>
      <c r="O44" s="3">
        <v>24.15</v>
      </c>
      <c r="P44" s="3">
        <v>5.94</v>
      </c>
      <c r="Q44" s="3">
        <v>18.21</v>
      </c>
      <c r="R44" s="3">
        <v>0</v>
      </c>
      <c r="S44" s="5">
        <f>T44/AA$1</f>
        <v>0.9715710000000003</v>
      </c>
      <c r="T44" s="6">
        <f t="shared" si="1"/>
        <v>9715.7100000000028</v>
      </c>
      <c r="U44" s="8"/>
    </row>
    <row r="45" spans="1:21" x14ac:dyDescent="0.2">
      <c r="A45" s="4">
        <v>43832.4375</v>
      </c>
      <c r="B45" s="3">
        <v>0</v>
      </c>
      <c r="C45" s="3">
        <v>5.9499999999999993</v>
      </c>
      <c r="D45" s="3">
        <v>8.19</v>
      </c>
      <c r="E45" s="3">
        <v>2.2400000000000002</v>
      </c>
      <c r="F45" s="3">
        <v>0</v>
      </c>
      <c r="G45" s="3">
        <v>0</v>
      </c>
      <c r="H45" s="3">
        <v>97.398700000000034</v>
      </c>
      <c r="I45" s="6">
        <v>9739.8700000000026</v>
      </c>
      <c r="J45" s="8"/>
      <c r="L45" s="3" t="s">
        <v>58</v>
      </c>
      <c r="M45" s="3">
        <v>0</v>
      </c>
      <c r="N45" s="3">
        <v>0</v>
      </c>
      <c r="O45" s="3">
        <v>8.19</v>
      </c>
      <c r="P45" s="3">
        <v>2.2400000000000002</v>
      </c>
      <c r="Q45" s="3">
        <v>5.9499999999999993</v>
      </c>
      <c r="R45" s="3">
        <v>0</v>
      </c>
      <c r="S45" s="5">
        <f>T45/AA$1</f>
        <v>0.9715710000000003</v>
      </c>
      <c r="T45" s="6">
        <f t="shared" si="1"/>
        <v>9715.7100000000028</v>
      </c>
      <c r="U45" s="8"/>
    </row>
    <row r="46" spans="1:21" x14ac:dyDescent="0.2">
      <c r="A46" s="4">
        <v>43832.447916666657</v>
      </c>
      <c r="B46" s="3">
        <v>0</v>
      </c>
      <c r="C46" s="3">
        <v>26.41</v>
      </c>
      <c r="D46" s="3">
        <v>27.46</v>
      </c>
      <c r="E46" s="3">
        <v>1.05</v>
      </c>
      <c r="F46" s="3">
        <v>0</v>
      </c>
      <c r="G46" s="3">
        <v>0</v>
      </c>
      <c r="H46" s="3">
        <v>97.662800000000033</v>
      </c>
      <c r="I46" s="6">
        <v>9766.2800000000025</v>
      </c>
      <c r="J46" s="8"/>
      <c r="L46" s="3" t="s">
        <v>59</v>
      </c>
      <c r="M46" s="3">
        <v>0</v>
      </c>
      <c r="N46" s="3">
        <v>0</v>
      </c>
      <c r="O46" s="3">
        <v>27.46</v>
      </c>
      <c r="P46" s="3">
        <v>1.05</v>
      </c>
      <c r="Q46" s="3">
        <v>26.41</v>
      </c>
      <c r="R46" s="3">
        <v>0</v>
      </c>
      <c r="S46" s="5">
        <f>T46/AA$1</f>
        <v>0.9715710000000003</v>
      </c>
      <c r="T46" s="6">
        <f t="shared" si="1"/>
        <v>9715.7100000000028</v>
      </c>
      <c r="U46" s="8"/>
    </row>
    <row r="47" spans="1:21" x14ac:dyDescent="0.2">
      <c r="A47" s="4">
        <v>43832.458333333343</v>
      </c>
      <c r="B47" s="3">
        <v>0</v>
      </c>
      <c r="C47" s="3">
        <v>31.26</v>
      </c>
      <c r="D47" s="3">
        <v>32.97</v>
      </c>
      <c r="E47" s="3">
        <v>1.71</v>
      </c>
      <c r="F47" s="3">
        <v>0</v>
      </c>
      <c r="G47" s="3">
        <v>0</v>
      </c>
      <c r="H47" s="3">
        <v>97.975400000000022</v>
      </c>
      <c r="I47" s="6">
        <v>9797.5400000000027</v>
      </c>
      <c r="J47" s="8"/>
      <c r="L47" s="3" t="s">
        <v>60</v>
      </c>
      <c r="M47" s="3">
        <v>0</v>
      </c>
      <c r="N47" s="3">
        <v>0</v>
      </c>
      <c r="O47" s="3">
        <v>32.97</v>
      </c>
      <c r="P47" s="3">
        <v>1.71</v>
      </c>
      <c r="Q47" s="3">
        <v>31.26</v>
      </c>
      <c r="R47" s="3">
        <v>0</v>
      </c>
      <c r="S47" s="5">
        <f>T47/AA$1</f>
        <v>0.9715710000000003</v>
      </c>
      <c r="T47" s="6">
        <f t="shared" si="1"/>
        <v>9715.7100000000028</v>
      </c>
      <c r="U47" s="8"/>
    </row>
    <row r="48" spans="1:21" x14ac:dyDescent="0.2">
      <c r="A48" s="4">
        <v>43832.46875</v>
      </c>
      <c r="B48" s="3">
        <v>0</v>
      </c>
      <c r="C48" s="3">
        <v>55.73</v>
      </c>
      <c r="D48" s="3">
        <v>56.15</v>
      </c>
      <c r="E48" s="3">
        <v>0.42</v>
      </c>
      <c r="F48" s="3">
        <v>0</v>
      </c>
      <c r="G48" s="3">
        <v>0</v>
      </c>
      <c r="H48" s="3">
        <v>98.53270000000002</v>
      </c>
      <c r="I48" s="6">
        <v>9853.2700000000023</v>
      </c>
      <c r="J48" s="8"/>
      <c r="L48" s="3" t="s">
        <v>61</v>
      </c>
      <c r="M48" s="3">
        <v>0</v>
      </c>
      <c r="N48" s="3">
        <v>0</v>
      </c>
      <c r="O48" s="3">
        <v>56.15</v>
      </c>
      <c r="P48" s="3">
        <v>0.42</v>
      </c>
      <c r="Q48" s="3">
        <v>55.73</v>
      </c>
      <c r="R48" s="3">
        <v>0</v>
      </c>
      <c r="S48" s="5">
        <f>T48/AA$1</f>
        <v>0.9715710000000003</v>
      </c>
      <c r="T48" s="6">
        <f t="shared" si="1"/>
        <v>9715.7100000000028</v>
      </c>
      <c r="U48" s="8"/>
    </row>
    <row r="49" spans="1:21" x14ac:dyDescent="0.2">
      <c r="A49" s="4">
        <v>43832.479166666657</v>
      </c>
      <c r="B49" s="3">
        <v>0</v>
      </c>
      <c r="C49" s="3">
        <v>51.18</v>
      </c>
      <c r="D49" s="3">
        <v>51.61</v>
      </c>
      <c r="E49" s="3">
        <v>0.43</v>
      </c>
      <c r="F49" s="3">
        <v>0</v>
      </c>
      <c r="G49" s="3">
        <v>0</v>
      </c>
      <c r="H49" s="3">
        <v>99.044500000000028</v>
      </c>
      <c r="I49" s="6">
        <v>9904.4500000000025</v>
      </c>
      <c r="J49" s="8"/>
      <c r="L49" s="3" t="s">
        <v>62</v>
      </c>
      <c r="M49" s="3">
        <v>0</v>
      </c>
      <c r="N49" s="3">
        <v>0</v>
      </c>
      <c r="O49" s="3">
        <v>51.61</v>
      </c>
      <c r="P49" s="3">
        <v>0.43</v>
      </c>
      <c r="Q49" s="3">
        <v>51.18</v>
      </c>
      <c r="R49" s="3">
        <v>0</v>
      </c>
      <c r="S49" s="5">
        <f>T49/AA$1</f>
        <v>0.9715710000000003</v>
      </c>
      <c r="T49" s="6">
        <f t="shared" si="1"/>
        <v>9715.7100000000028</v>
      </c>
      <c r="U49" s="8"/>
    </row>
    <row r="50" spans="1:21" x14ac:dyDescent="0.2">
      <c r="A50" s="4">
        <v>43832.489583333343</v>
      </c>
      <c r="B50" s="3">
        <v>0</v>
      </c>
      <c r="C50" s="3">
        <v>42.629999999999988</v>
      </c>
      <c r="D50" s="3">
        <v>43.589999999999989</v>
      </c>
      <c r="E50" s="3">
        <v>0.96000000000000019</v>
      </c>
      <c r="F50" s="3">
        <v>0</v>
      </c>
      <c r="G50" s="3">
        <v>0</v>
      </c>
      <c r="H50" s="3">
        <v>99.470800000000011</v>
      </c>
      <c r="I50" s="6">
        <v>9947.0800000000017</v>
      </c>
      <c r="J50" s="8"/>
      <c r="L50" s="3" t="s">
        <v>63</v>
      </c>
      <c r="M50" s="3">
        <v>0</v>
      </c>
      <c r="N50" s="3">
        <v>0</v>
      </c>
      <c r="O50" s="3">
        <v>43.589999999999989</v>
      </c>
      <c r="P50" s="3">
        <v>0.96000000000000019</v>
      </c>
      <c r="Q50" s="3">
        <v>42.629999999999988</v>
      </c>
      <c r="R50" s="3">
        <v>0</v>
      </c>
      <c r="S50" s="5">
        <f>T50/AA$1</f>
        <v>0.9715710000000003</v>
      </c>
      <c r="T50" s="6">
        <f t="shared" si="1"/>
        <v>9715.7100000000028</v>
      </c>
      <c r="U50" s="8"/>
    </row>
    <row r="51" spans="1:21" x14ac:dyDescent="0.2">
      <c r="A51" s="4">
        <v>43832.5</v>
      </c>
      <c r="B51" s="3">
        <v>0</v>
      </c>
      <c r="C51" s="3">
        <v>52.919999999998247</v>
      </c>
      <c r="D51" s="3">
        <v>69.72</v>
      </c>
      <c r="E51" s="3">
        <v>0.23</v>
      </c>
      <c r="F51" s="3">
        <v>16.570000000001741</v>
      </c>
      <c r="G51" s="3">
        <v>0</v>
      </c>
      <c r="H51" s="3">
        <v>100</v>
      </c>
      <c r="I51" s="6">
        <v>10000</v>
      </c>
      <c r="J51" s="8"/>
      <c r="L51" s="3" t="s">
        <v>64</v>
      </c>
      <c r="M51" s="3">
        <v>0</v>
      </c>
      <c r="N51" s="3">
        <v>0</v>
      </c>
      <c r="O51" s="3">
        <v>69.72</v>
      </c>
      <c r="P51" s="3">
        <v>0.23</v>
      </c>
      <c r="Q51" s="3">
        <v>69.489999999999995</v>
      </c>
      <c r="R51" s="3">
        <v>0</v>
      </c>
      <c r="S51" s="5">
        <f>T51/AA$1</f>
        <v>0.9715710000000003</v>
      </c>
      <c r="T51" s="6">
        <f t="shared" si="1"/>
        <v>9715.7100000000028</v>
      </c>
      <c r="U51" s="8"/>
    </row>
    <row r="52" spans="1:21" x14ac:dyDescent="0.2">
      <c r="A52" s="4">
        <v>43832.510416666657</v>
      </c>
      <c r="B52" s="3">
        <v>0</v>
      </c>
      <c r="C52" s="3">
        <v>0</v>
      </c>
      <c r="D52" s="3">
        <v>88.88</v>
      </c>
      <c r="E52" s="3">
        <v>0.63000000000000012</v>
      </c>
      <c r="F52" s="3">
        <v>88.25</v>
      </c>
      <c r="G52" s="3">
        <v>0</v>
      </c>
      <c r="H52" s="3">
        <v>100</v>
      </c>
      <c r="I52" s="6">
        <v>10000</v>
      </c>
      <c r="J52" s="8"/>
      <c r="L52" s="3" t="s">
        <v>65</v>
      </c>
      <c r="M52" s="3">
        <v>0</v>
      </c>
      <c r="N52" s="3">
        <v>0</v>
      </c>
      <c r="O52" s="3">
        <v>88.88</v>
      </c>
      <c r="P52" s="3">
        <v>0.63000000000000012</v>
      </c>
      <c r="Q52" s="3">
        <v>88.25</v>
      </c>
      <c r="R52" s="3">
        <v>0</v>
      </c>
      <c r="S52" s="5">
        <f>T52/AA$1</f>
        <v>0.9715710000000003</v>
      </c>
      <c r="T52" s="6">
        <f t="shared" si="1"/>
        <v>9715.7100000000028</v>
      </c>
      <c r="U52" s="8"/>
    </row>
    <row r="53" spans="1:21" x14ac:dyDescent="0.2">
      <c r="A53" s="4">
        <v>43832.520833333343</v>
      </c>
      <c r="B53" s="3">
        <v>0</v>
      </c>
      <c r="C53" s="3">
        <v>0</v>
      </c>
      <c r="D53" s="3">
        <v>95.36999999999999</v>
      </c>
      <c r="E53" s="3">
        <v>6.09</v>
      </c>
      <c r="F53" s="3">
        <v>89.279999999999987</v>
      </c>
      <c r="G53" s="3">
        <v>0</v>
      </c>
      <c r="H53" s="3">
        <v>100</v>
      </c>
      <c r="I53" s="6">
        <v>10000</v>
      </c>
      <c r="J53" s="8"/>
      <c r="L53" s="3" t="s">
        <v>66</v>
      </c>
      <c r="M53" s="3">
        <v>0</v>
      </c>
      <c r="N53" s="3">
        <v>0</v>
      </c>
      <c r="O53" s="3">
        <v>95.36999999999999</v>
      </c>
      <c r="P53" s="3">
        <v>6.09</v>
      </c>
      <c r="Q53" s="3">
        <v>89.279999999999987</v>
      </c>
      <c r="R53" s="3">
        <v>0</v>
      </c>
      <c r="S53" s="5">
        <f>T53/AA$1</f>
        <v>0.9715710000000003</v>
      </c>
      <c r="T53" s="6">
        <f t="shared" si="1"/>
        <v>9715.7100000000028</v>
      </c>
      <c r="U53" s="8"/>
    </row>
    <row r="54" spans="1:21" x14ac:dyDescent="0.2">
      <c r="A54" s="4">
        <v>43832.53125</v>
      </c>
      <c r="B54" s="3">
        <v>0</v>
      </c>
      <c r="C54" s="3">
        <v>0</v>
      </c>
      <c r="D54" s="3">
        <v>93.670000000000016</v>
      </c>
      <c r="E54" s="3">
        <v>29.31</v>
      </c>
      <c r="F54" s="3">
        <v>64.360000000000014</v>
      </c>
      <c r="G54" s="3">
        <v>0</v>
      </c>
      <c r="H54" s="3">
        <v>100</v>
      </c>
      <c r="I54" s="6">
        <v>10000</v>
      </c>
      <c r="J54" s="8"/>
      <c r="L54" s="3" t="s">
        <v>67</v>
      </c>
      <c r="M54" s="3">
        <v>0</v>
      </c>
      <c r="N54" s="3">
        <v>58.13</v>
      </c>
      <c r="O54" s="3">
        <v>93.670000000000016</v>
      </c>
      <c r="P54" s="3">
        <v>29.31</v>
      </c>
      <c r="Q54" s="3">
        <v>6.2300000000000111</v>
      </c>
      <c r="R54" s="3">
        <v>0</v>
      </c>
      <c r="S54" s="5">
        <f>T54/AA$1</f>
        <v>0.97738400000000014</v>
      </c>
      <c r="T54" s="6">
        <f t="shared" si="1"/>
        <v>9773.840000000002</v>
      </c>
      <c r="U54" s="8"/>
    </row>
    <row r="55" spans="1:21" x14ac:dyDescent="0.2">
      <c r="A55" s="4">
        <v>43832.541666666657</v>
      </c>
      <c r="B55" s="3">
        <v>0</v>
      </c>
      <c r="C55" s="3">
        <v>0</v>
      </c>
      <c r="D55" s="3">
        <v>278.43</v>
      </c>
      <c r="E55" s="3">
        <v>12.02</v>
      </c>
      <c r="F55" s="3">
        <v>266.41000000000003</v>
      </c>
      <c r="G55" s="3">
        <v>0</v>
      </c>
      <c r="H55" s="3">
        <v>100</v>
      </c>
      <c r="I55" s="6">
        <v>10000</v>
      </c>
      <c r="J55" s="8"/>
      <c r="L55" s="3" t="s">
        <v>68</v>
      </c>
      <c r="M55" s="3">
        <v>0</v>
      </c>
      <c r="N55" s="3">
        <v>66.41</v>
      </c>
      <c r="O55" s="3">
        <v>278.43</v>
      </c>
      <c r="P55" s="3">
        <v>12.02</v>
      </c>
      <c r="Q55" s="3">
        <v>200</v>
      </c>
      <c r="R55" s="3">
        <v>0</v>
      </c>
      <c r="S55" s="5">
        <f>T55/AA$1</f>
        <v>0.98402500000000015</v>
      </c>
      <c r="T55" s="6">
        <f t="shared" si="1"/>
        <v>9840.2500000000018</v>
      </c>
      <c r="U55" s="8"/>
    </row>
    <row r="56" spans="1:21" x14ac:dyDescent="0.2">
      <c r="A56" s="4">
        <v>43832.552083333343</v>
      </c>
      <c r="B56" s="3">
        <v>0</v>
      </c>
      <c r="C56" s="3">
        <v>0</v>
      </c>
      <c r="D56" s="3">
        <v>69.889999999999986</v>
      </c>
      <c r="E56" s="3">
        <v>1.41</v>
      </c>
      <c r="F56" s="3">
        <v>68.47999999999999</v>
      </c>
      <c r="G56" s="3">
        <v>0</v>
      </c>
      <c r="H56" s="3">
        <v>100</v>
      </c>
      <c r="I56" s="6">
        <v>10000</v>
      </c>
      <c r="J56" s="8"/>
      <c r="L56" s="3" t="s">
        <v>69</v>
      </c>
      <c r="M56" s="3">
        <v>0</v>
      </c>
      <c r="N56" s="3">
        <v>0</v>
      </c>
      <c r="O56" s="3">
        <v>69.889999999999986</v>
      </c>
      <c r="P56" s="3">
        <v>1.41</v>
      </c>
      <c r="Q56" s="3">
        <v>68.47999999999999</v>
      </c>
      <c r="R56" s="3">
        <v>0</v>
      </c>
      <c r="S56" s="5">
        <f>T56/AA$1</f>
        <v>0.98402500000000015</v>
      </c>
      <c r="T56" s="6">
        <f t="shared" si="1"/>
        <v>9840.2500000000018</v>
      </c>
      <c r="U56" s="8"/>
    </row>
    <row r="57" spans="1:21" x14ac:dyDescent="0.2">
      <c r="A57" s="4">
        <v>43832.5625</v>
      </c>
      <c r="B57" s="3">
        <v>0</v>
      </c>
      <c r="C57" s="3">
        <v>0</v>
      </c>
      <c r="D57" s="3">
        <v>119.23</v>
      </c>
      <c r="E57" s="3">
        <v>0.86000000000000021</v>
      </c>
      <c r="F57" s="3">
        <v>118.37</v>
      </c>
      <c r="G57" s="3">
        <v>0</v>
      </c>
      <c r="H57" s="3">
        <v>100</v>
      </c>
      <c r="I57" s="6">
        <v>10000</v>
      </c>
      <c r="J57" s="8"/>
      <c r="L57" s="3" t="s">
        <v>70</v>
      </c>
      <c r="M57" s="3">
        <v>0</v>
      </c>
      <c r="N57" s="3">
        <v>0</v>
      </c>
      <c r="O57" s="3">
        <v>119.23</v>
      </c>
      <c r="P57" s="3">
        <v>0.86000000000000021</v>
      </c>
      <c r="Q57" s="3">
        <v>118.37</v>
      </c>
      <c r="R57" s="3">
        <v>0</v>
      </c>
      <c r="S57" s="5">
        <f>T57/AA$1</f>
        <v>0.98402500000000015</v>
      </c>
      <c r="T57" s="6">
        <f t="shared" si="1"/>
        <v>9840.2500000000018</v>
      </c>
      <c r="U57" s="8"/>
    </row>
    <row r="58" spans="1:21" x14ac:dyDescent="0.2">
      <c r="A58" s="4">
        <v>43832.572916666657</v>
      </c>
      <c r="B58" s="3">
        <v>0</v>
      </c>
      <c r="C58" s="3">
        <v>0</v>
      </c>
      <c r="D58" s="3">
        <v>354</v>
      </c>
      <c r="E58" s="3">
        <v>1.72</v>
      </c>
      <c r="F58" s="3">
        <v>352.28</v>
      </c>
      <c r="G58" s="3">
        <v>0</v>
      </c>
      <c r="H58" s="3">
        <v>100</v>
      </c>
      <c r="I58" s="6">
        <v>10000</v>
      </c>
      <c r="J58" s="8"/>
      <c r="L58" s="3" t="s">
        <v>71</v>
      </c>
      <c r="M58" s="3">
        <v>0</v>
      </c>
      <c r="N58" s="3">
        <v>0</v>
      </c>
      <c r="O58" s="3">
        <v>116.61</v>
      </c>
      <c r="P58" s="3">
        <v>1.72</v>
      </c>
      <c r="Q58" s="3">
        <v>114.89</v>
      </c>
      <c r="R58" s="3">
        <v>0</v>
      </c>
      <c r="S58" s="5">
        <f>T58/AA$1</f>
        <v>0.98402500000000015</v>
      </c>
      <c r="T58" s="6">
        <f t="shared" si="1"/>
        <v>9840.2500000000018</v>
      </c>
      <c r="U58" s="8"/>
    </row>
    <row r="59" spans="1:21" x14ac:dyDescent="0.2">
      <c r="A59" s="4">
        <v>43832.583333333343</v>
      </c>
      <c r="B59" s="3">
        <v>0</v>
      </c>
      <c r="C59" s="3">
        <v>0</v>
      </c>
      <c r="D59" s="3">
        <v>462</v>
      </c>
      <c r="E59" s="3">
        <v>2.4900000000000002</v>
      </c>
      <c r="F59" s="3">
        <v>459.51</v>
      </c>
      <c r="G59" s="3">
        <v>0</v>
      </c>
      <c r="H59" s="3">
        <v>100</v>
      </c>
      <c r="I59" s="6">
        <v>10000</v>
      </c>
      <c r="J59" s="8"/>
      <c r="L59" s="3" t="s">
        <v>72</v>
      </c>
      <c r="M59" s="3">
        <v>0</v>
      </c>
      <c r="N59" s="3">
        <v>0</v>
      </c>
      <c r="O59" s="3">
        <v>162.38999999999999</v>
      </c>
      <c r="P59" s="3">
        <v>2.4900000000000002</v>
      </c>
      <c r="Q59" s="3">
        <v>159.9</v>
      </c>
      <c r="R59" s="3">
        <v>0</v>
      </c>
      <c r="S59" s="5">
        <f>T59/AA$1</f>
        <v>0.98402500000000015</v>
      </c>
      <c r="T59" s="6">
        <f t="shared" si="1"/>
        <v>9840.2500000000018</v>
      </c>
      <c r="U59" s="8"/>
    </row>
    <row r="60" spans="1:21" x14ac:dyDescent="0.2">
      <c r="A60" s="4">
        <v>43832.59375</v>
      </c>
      <c r="B60" s="3">
        <v>0</v>
      </c>
      <c r="C60" s="3">
        <v>0</v>
      </c>
      <c r="D60" s="3">
        <v>122.06</v>
      </c>
      <c r="E60" s="3">
        <v>1.8</v>
      </c>
      <c r="F60" s="3">
        <v>120.26</v>
      </c>
      <c r="G60" s="3">
        <v>0</v>
      </c>
      <c r="H60" s="3">
        <v>100</v>
      </c>
      <c r="I60" s="6">
        <v>10000</v>
      </c>
      <c r="J60" s="8"/>
      <c r="L60" s="3" t="s">
        <v>73</v>
      </c>
      <c r="M60" s="3">
        <v>0</v>
      </c>
      <c r="N60" s="3">
        <v>120.26</v>
      </c>
      <c r="O60" s="3">
        <v>122.06</v>
      </c>
      <c r="P60" s="3">
        <v>1.8</v>
      </c>
      <c r="Q60" s="3">
        <v>0</v>
      </c>
      <c r="R60" s="3">
        <v>0</v>
      </c>
      <c r="S60" s="5">
        <f>T60/AA$1</f>
        <v>0.99605100000000024</v>
      </c>
      <c r="T60" s="6">
        <f t="shared" si="1"/>
        <v>9960.510000000002</v>
      </c>
      <c r="U60" s="8"/>
    </row>
    <row r="61" spans="1:21" x14ac:dyDescent="0.2">
      <c r="A61" s="4">
        <v>43832.604166666657</v>
      </c>
      <c r="B61" s="3">
        <v>0</v>
      </c>
      <c r="C61" s="3">
        <v>0</v>
      </c>
      <c r="D61" s="3">
        <v>111.49</v>
      </c>
      <c r="E61" s="3">
        <v>1.82</v>
      </c>
      <c r="F61" s="3">
        <v>109.67</v>
      </c>
      <c r="G61" s="3">
        <v>0</v>
      </c>
      <c r="H61" s="3">
        <v>100</v>
      </c>
      <c r="I61" s="6">
        <v>10000</v>
      </c>
      <c r="J61" s="8"/>
      <c r="L61" s="3" t="s">
        <v>74</v>
      </c>
      <c r="M61" s="3">
        <v>0</v>
      </c>
      <c r="N61" s="3">
        <v>0</v>
      </c>
      <c r="O61" s="3">
        <v>111.49</v>
      </c>
      <c r="P61" s="3">
        <v>1.82</v>
      </c>
      <c r="Q61" s="3">
        <v>109.67</v>
      </c>
      <c r="R61" s="3">
        <v>0</v>
      </c>
      <c r="S61" s="5">
        <f>T61/AA$1</f>
        <v>0.99605100000000024</v>
      </c>
      <c r="T61" s="6">
        <f t="shared" si="1"/>
        <v>9960.510000000002</v>
      </c>
      <c r="U61" s="8"/>
    </row>
    <row r="62" spans="1:21" x14ac:dyDescent="0.2">
      <c r="A62" s="4">
        <v>43832.614583333343</v>
      </c>
      <c r="B62" s="3">
        <v>0</v>
      </c>
      <c r="C62" s="3">
        <v>0</v>
      </c>
      <c r="D62" s="3">
        <v>434.1</v>
      </c>
      <c r="E62" s="3">
        <v>1.96</v>
      </c>
      <c r="F62" s="3">
        <v>432.14</v>
      </c>
      <c r="G62" s="3">
        <v>0</v>
      </c>
      <c r="H62" s="3">
        <v>100</v>
      </c>
      <c r="I62" s="6">
        <v>10000</v>
      </c>
      <c r="J62" s="8"/>
      <c r="L62" s="3" t="s">
        <v>75</v>
      </c>
      <c r="M62" s="3">
        <v>0</v>
      </c>
      <c r="N62" s="3">
        <v>0</v>
      </c>
      <c r="O62" s="3">
        <v>434.1</v>
      </c>
      <c r="P62" s="3">
        <v>1.96</v>
      </c>
      <c r="Q62" s="3">
        <v>432.14</v>
      </c>
      <c r="R62" s="3">
        <v>0</v>
      </c>
      <c r="S62" s="5">
        <f>T62/AA$1</f>
        <v>0.99605100000000024</v>
      </c>
      <c r="T62" s="6">
        <f t="shared" si="1"/>
        <v>9960.510000000002</v>
      </c>
      <c r="U62" s="8"/>
    </row>
    <row r="63" spans="1:21" x14ac:dyDescent="0.2">
      <c r="A63" s="4">
        <v>43832.625</v>
      </c>
      <c r="B63" s="3">
        <v>0</v>
      </c>
      <c r="C63" s="3">
        <v>0</v>
      </c>
      <c r="D63" s="3">
        <v>77.099999999999994</v>
      </c>
      <c r="E63" s="3">
        <v>1.34</v>
      </c>
      <c r="F63" s="3">
        <v>75.759999999999991</v>
      </c>
      <c r="G63" s="3">
        <v>0</v>
      </c>
      <c r="H63" s="3">
        <v>100</v>
      </c>
      <c r="I63" s="6">
        <v>10000</v>
      </c>
      <c r="J63" s="8"/>
      <c r="L63" s="3" t="s">
        <v>76</v>
      </c>
      <c r="M63" s="3">
        <v>0</v>
      </c>
      <c r="N63" s="3">
        <v>0</v>
      </c>
      <c r="O63" s="3">
        <v>77.099999999999994</v>
      </c>
      <c r="P63" s="3">
        <v>1.34</v>
      </c>
      <c r="Q63" s="3">
        <v>75.759999999999991</v>
      </c>
      <c r="R63" s="3">
        <v>0</v>
      </c>
      <c r="S63" s="5">
        <f>T63/AA$1</f>
        <v>0.99605100000000024</v>
      </c>
      <c r="T63" s="6">
        <f t="shared" si="1"/>
        <v>9960.510000000002</v>
      </c>
      <c r="U63" s="8"/>
    </row>
    <row r="64" spans="1:21" x14ac:dyDescent="0.2">
      <c r="A64" s="4">
        <v>43832.635416666657</v>
      </c>
      <c r="B64" s="3">
        <v>0</v>
      </c>
      <c r="C64" s="3">
        <v>0</v>
      </c>
      <c r="D64" s="3">
        <v>411.36</v>
      </c>
      <c r="E64" s="3">
        <v>1.87</v>
      </c>
      <c r="F64" s="3">
        <v>409.49</v>
      </c>
      <c r="G64" s="3">
        <v>0</v>
      </c>
      <c r="H64" s="3">
        <v>100</v>
      </c>
      <c r="I64" s="6">
        <v>10000</v>
      </c>
      <c r="J64" s="8"/>
      <c r="L64" s="3" t="s">
        <v>77</v>
      </c>
      <c r="M64" s="3">
        <v>0</v>
      </c>
      <c r="N64" s="3">
        <v>39.49</v>
      </c>
      <c r="O64" s="3">
        <v>411.36</v>
      </c>
      <c r="P64" s="3">
        <v>1.87</v>
      </c>
      <c r="Q64" s="3">
        <v>370</v>
      </c>
      <c r="R64" s="3">
        <v>0</v>
      </c>
      <c r="S64" s="5">
        <f>T64/AA$1</f>
        <v>1.0000000000000002</v>
      </c>
      <c r="T64" s="6">
        <f t="shared" si="1"/>
        <v>10000.000000000002</v>
      </c>
      <c r="U64" s="8"/>
    </row>
    <row r="65" spans="1:21" x14ac:dyDescent="0.2">
      <c r="A65" s="4">
        <v>43832.645833333343</v>
      </c>
      <c r="B65" s="3">
        <v>1.039999999999992</v>
      </c>
      <c r="C65" s="3">
        <v>0</v>
      </c>
      <c r="D65" s="3">
        <v>20.490000000000009</v>
      </c>
      <c r="E65" s="3">
        <v>21.53</v>
      </c>
      <c r="F65" s="3">
        <v>0</v>
      </c>
      <c r="G65" s="3">
        <v>0</v>
      </c>
      <c r="H65" s="3">
        <v>99.989599999999996</v>
      </c>
      <c r="I65" s="6">
        <v>9998.9599999999991</v>
      </c>
      <c r="J65" s="8"/>
      <c r="L65" s="3" t="s">
        <v>78</v>
      </c>
      <c r="M65" s="3">
        <v>1.04</v>
      </c>
      <c r="N65" s="3">
        <v>0</v>
      </c>
      <c r="O65" s="3">
        <v>20.490000000000009</v>
      </c>
      <c r="P65" s="3">
        <v>21.53</v>
      </c>
      <c r="Q65" s="3">
        <v>0</v>
      </c>
      <c r="R65" s="3">
        <v>0</v>
      </c>
      <c r="S65" s="5">
        <f>T65/AA$1</f>
        <v>0.99989600000000012</v>
      </c>
      <c r="T65" s="6">
        <f t="shared" si="1"/>
        <v>9998.9600000000009</v>
      </c>
      <c r="U65" s="8"/>
    </row>
    <row r="66" spans="1:21" x14ac:dyDescent="0.2">
      <c r="A66" s="4">
        <v>43832.65625</v>
      </c>
      <c r="B66" s="3">
        <v>12.769999999999991</v>
      </c>
      <c r="C66" s="3">
        <v>0</v>
      </c>
      <c r="D66" s="3">
        <v>14.67</v>
      </c>
      <c r="E66" s="3">
        <v>27.439999999999991</v>
      </c>
      <c r="F66" s="3">
        <v>0</v>
      </c>
      <c r="G66" s="3">
        <v>0</v>
      </c>
      <c r="H66" s="3">
        <v>99.861899999999991</v>
      </c>
      <c r="I66" s="6">
        <v>9986.1899999999987</v>
      </c>
      <c r="J66" s="8"/>
      <c r="L66" s="3" t="s">
        <v>79</v>
      </c>
      <c r="M66" s="3">
        <v>12.77</v>
      </c>
      <c r="N66" s="3">
        <v>0</v>
      </c>
      <c r="O66" s="3">
        <v>14.67</v>
      </c>
      <c r="P66" s="3">
        <v>27.439999999999991</v>
      </c>
      <c r="Q66" s="3">
        <v>0</v>
      </c>
      <c r="R66" s="3">
        <v>0</v>
      </c>
      <c r="S66" s="5">
        <f>T66/AA$1</f>
        <v>0.99861900000000003</v>
      </c>
      <c r="T66" s="6">
        <f t="shared" si="1"/>
        <v>9986.19</v>
      </c>
      <c r="U66" s="8"/>
    </row>
    <row r="67" spans="1:21" x14ac:dyDescent="0.2">
      <c r="A67" s="4">
        <v>43832.666666666657</v>
      </c>
      <c r="B67" s="3">
        <v>0</v>
      </c>
      <c r="C67" s="3">
        <v>6.7199999999999971</v>
      </c>
      <c r="D67" s="3">
        <v>9.5299999999999976</v>
      </c>
      <c r="E67" s="3">
        <v>2.81</v>
      </c>
      <c r="F67" s="3">
        <v>0</v>
      </c>
      <c r="G67" s="3">
        <v>0</v>
      </c>
      <c r="H67" s="3">
        <v>99.929099999999977</v>
      </c>
      <c r="I67" s="6">
        <v>9992.909999999998</v>
      </c>
      <c r="J67" s="8"/>
      <c r="L67" s="3" t="s">
        <v>80</v>
      </c>
      <c r="M67" s="3">
        <v>0</v>
      </c>
      <c r="N67" s="3">
        <v>6.72</v>
      </c>
      <c r="O67" s="3">
        <v>9.5299999999999976</v>
      </c>
      <c r="P67" s="3">
        <v>2.81</v>
      </c>
      <c r="Q67" s="3">
        <v>0</v>
      </c>
      <c r="R67" s="3">
        <v>0</v>
      </c>
      <c r="S67" s="5">
        <f>T67/AA$1</f>
        <v>0.99929100000000004</v>
      </c>
      <c r="T67" s="6">
        <f t="shared" si="1"/>
        <v>9992.91</v>
      </c>
      <c r="U67" s="8"/>
    </row>
    <row r="68" spans="1:21" x14ac:dyDescent="0.2">
      <c r="A68" s="4">
        <v>43832.677083333343</v>
      </c>
      <c r="B68" s="3">
        <v>0</v>
      </c>
      <c r="C68" s="3">
        <v>0.51</v>
      </c>
      <c r="D68" s="3">
        <v>1.92</v>
      </c>
      <c r="E68" s="3">
        <v>1.41</v>
      </c>
      <c r="F68" s="3">
        <v>0</v>
      </c>
      <c r="G68" s="3">
        <v>0</v>
      </c>
      <c r="H68" s="3">
        <v>99.93419999999999</v>
      </c>
      <c r="I68" s="6">
        <v>9993.4199999999983</v>
      </c>
      <c r="J68" s="8"/>
      <c r="L68" s="3" t="s">
        <v>81</v>
      </c>
      <c r="M68" s="3">
        <v>0</v>
      </c>
      <c r="N68" s="3">
        <v>0.51</v>
      </c>
      <c r="O68" s="3">
        <v>1.92</v>
      </c>
      <c r="P68" s="3">
        <v>1.41</v>
      </c>
      <c r="Q68" s="3">
        <v>0</v>
      </c>
      <c r="R68" s="3">
        <v>0</v>
      </c>
      <c r="S68" s="5">
        <f>T68/AA$1</f>
        <v>0.99934199999999995</v>
      </c>
      <c r="T68" s="6">
        <f t="shared" ref="T68:T99" si="2">T67-M68+N68</f>
        <v>9993.42</v>
      </c>
      <c r="U68" s="8"/>
    </row>
    <row r="69" spans="1:21" x14ac:dyDescent="0.2">
      <c r="A69" s="4">
        <v>43832.6875</v>
      </c>
      <c r="B69" s="3">
        <v>5.4200000000000008</v>
      </c>
      <c r="C69" s="3">
        <v>0</v>
      </c>
      <c r="D69" s="3">
        <v>0.06</v>
      </c>
      <c r="E69" s="3">
        <v>5.48</v>
      </c>
      <c r="F69" s="3">
        <v>0</v>
      </c>
      <c r="G69" s="3">
        <v>0</v>
      </c>
      <c r="H69" s="3">
        <v>99.879999999999981</v>
      </c>
      <c r="I69" s="6">
        <v>9987.9999999999982</v>
      </c>
      <c r="J69" s="8"/>
      <c r="L69" s="3" t="s">
        <v>82</v>
      </c>
      <c r="M69" s="3">
        <v>5.42</v>
      </c>
      <c r="N69" s="3">
        <v>0</v>
      </c>
      <c r="O69" s="3">
        <v>0.06</v>
      </c>
      <c r="P69" s="3">
        <v>5.48</v>
      </c>
      <c r="Q69" s="3">
        <v>0</v>
      </c>
      <c r="R69" s="3">
        <v>0</v>
      </c>
      <c r="S69" s="5">
        <f>T69/AA$1</f>
        <v>0.99880000000000002</v>
      </c>
      <c r="T69" s="6">
        <f t="shared" si="2"/>
        <v>9988</v>
      </c>
      <c r="U69" s="8"/>
    </row>
    <row r="70" spans="1:21" x14ac:dyDescent="0.2">
      <c r="A70" s="4">
        <v>43832.697916666657</v>
      </c>
      <c r="B70" s="3">
        <v>1.61</v>
      </c>
      <c r="C70" s="3">
        <v>0</v>
      </c>
      <c r="D70" s="3">
        <v>0</v>
      </c>
      <c r="E70" s="3">
        <v>1.61</v>
      </c>
      <c r="F70" s="3">
        <v>0</v>
      </c>
      <c r="G70" s="3">
        <v>0</v>
      </c>
      <c r="H70" s="3">
        <v>99.863899999999973</v>
      </c>
      <c r="I70" s="6">
        <v>9986.3899999999976</v>
      </c>
      <c r="J70" s="8"/>
      <c r="L70" s="3" t="s">
        <v>83</v>
      </c>
      <c r="M70" s="3">
        <v>1.61</v>
      </c>
      <c r="N70" s="3">
        <v>0</v>
      </c>
      <c r="O70" s="3">
        <v>0</v>
      </c>
      <c r="P70" s="3">
        <v>1.61</v>
      </c>
      <c r="Q70" s="3">
        <v>0</v>
      </c>
      <c r="R70" s="3">
        <v>0</v>
      </c>
      <c r="S70" s="5">
        <f>T70/AA$1</f>
        <v>0.99863899999999994</v>
      </c>
      <c r="T70" s="6">
        <f t="shared" si="2"/>
        <v>9986.39</v>
      </c>
      <c r="U70" s="8"/>
    </row>
    <row r="71" spans="1:21" x14ac:dyDescent="0.2">
      <c r="A71" s="4">
        <v>43832.708333333343</v>
      </c>
      <c r="B71" s="3">
        <v>0.45000000000000012</v>
      </c>
      <c r="C71" s="3">
        <v>0</v>
      </c>
      <c r="D71" s="3">
        <v>0</v>
      </c>
      <c r="E71" s="3">
        <v>0.45000000000000012</v>
      </c>
      <c r="F71" s="3">
        <v>0</v>
      </c>
      <c r="G71" s="3">
        <v>0</v>
      </c>
      <c r="H71" s="3">
        <v>99.859399999999965</v>
      </c>
      <c r="I71" s="6">
        <v>9985.9399999999969</v>
      </c>
      <c r="J71" s="8"/>
      <c r="L71" s="3" t="s">
        <v>84</v>
      </c>
      <c r="M71" s="3">
        <v>0.45</v>
      </c>
      <c r="N71" s="3">
        <v>0</v>
      </c>
      <c r="O71" s="3">
        <v>0</v>
      </c>
      <c r="P71" s="3">
        <v>0.45000000000000012</v>
      </c>
      <c r="Q71" s="3">
        <v>0</v>
      </c>
      <c r="R71" s="3">
        <v>0</v>
      </c>
      <c r="S71" s="5">
        <f>T71/AA$1</f>
        <v>0.99859399999999987</v>
      </c>
      <c r="T71" s="6">
        <f t="shared" si="2"/>
        <v>9985.9399999999987</v>
      </c>
      <c r="U71" s="8"/>
    </row>
    <row r="72" spans="1:21" x14ac:dyDescent="0.2">
      <c r="A72" s="4">
        <v>43832.71875</v>
      </c>
      <c r="B72" s="3">
        <v>2.59</v>
      </c>
      <c r="C72" s="3">
        <v>0</v>
      </c>
      <c r="D72" s="3">
        <v>0</v>
      </c>
      <c r="E72" s="3">
        <v>2.59</v>
      </c>
      <c r="F72" s="3">
        <v>0</v>
      </c>
      <c r="G72" s="3">
        <v>0</v>
      </c>
      <c r="H72" s="3">
        <v>99.833499999999958</v>
      </c>
      <c r="I72" s="6">
        <v>9983.3499999999967</v>
      </c>
      <c r="J72" s="8"/>
      <c r="L72" s="3" t="s">
        <v>85</v>
      </c>
      <c r="M72" s="3">
        <v>2.59</v>
      </c>
      <c r="N72" s="3">
        <v>0</v>
      </c>
      <c r="O72" s="3">
        <v>0</v>
      </c>
      <c r="P72" s="3">
        <v>2.59</v>
      </c>
      <c r="Q72" s="3">
        <v>0</v>
      </c>
      <c r="R72" s="3">
        <v>0</v>
      </c>
      <c r="S72" s="5">
        <f>T72/AA$1</f>
        <v>0.99833499999999986</v>
      </c>
      <c r="T72" s="6">
        <f t="shared" si="2"/>
        <v>9983.3499999999985</v>
      </c>
      <c r="U72" s="8"/>
    </row>
    <row r="73" spans="1:21" x14ac:dyDescent="0.2">
      <c r="A73" s="4">
        <v>43832.729166666657</v>
      </c>
      <c r="B73" s="3">
        <v>4.3099999999999996</v>
      </c>
      <c r="C73" s="3">
        <v>0</v>
      </c>
      <c r="D73" s="3">
        <v>0</v>
      </c>
      <c r="E73" s="3">
        <v>4.3099999999999996</v>
      </c>
      <c r="F73" s="3">
        <v>0</v>
      </c>
      <c r="G73" s="3">
        <v>0</v>
      </c>
      <c r="H73" s="3">
        <v>99.790399999999963</v>
      </c>
      <c r="I73" s="6">
        <v>9979.0399999999972</v>
      </c>
      <c r="J73" s="8"/>
      <c r="L73" s="3" t="s">
        <v>86</v>
      </c>
      <c r="M73" s="3">
        <v>4.3099999999999996</v>
      </c>
      <c r="N73" s="3">
        <v>0</v>
      </c>
      <c r="O73" s="3">
        <v>0</v>
      </c>
      <c r="P73" s="3">
        <v>4.3099999999999996</v>
      </c>
      <c r="Q73" s="3">
        <v>0</v>
      </c>
      <c r="R73" s="3">
        <v>0</v>
      </c>
      <c r="S73" s="5">
        <f>T73/AA$1</f>
        <v>0.9979039999999999</v>
      </c>
      <c r="T73" s="6">
        <f t="shared" si="2"/>
        <v>9979.0399999999991</v>
      </c>
      <c r="U73" s="8"/>
    </row>
    <row r="74" spans="1:21" x14ac:dyDescent="0.2">
      <c r="A74" s="4">
        <v>43832.739583333343</v>
      </c>
      <c r="B74" s="3">
        <v>4.5199999999999996</v>
      </c>
      <c r="C74" s="3">
        <v>0</v>
      </c>
      <c r="D74" s="3">
        <v>0</v>
      </c>
      <c r="E74" s="3">
        <v>4.5199999999999996</v>
      </c>
      <c r="F74" s="3">
        <v>0</v>
      </c>
      <c r="G74" s="3">
        <v>0</v>
      </c>
      <c r="H74" s="3">
        <v>99.745199999999969</v>
      </c>
      <c r="I74" s="6">
        <v>9974.5199999999968</v>
      </c>
      <c r="J74" s="8"/>
      <c r="L74" s="3" t="s">
        <v>87</v>
      </c>
      <c r="M74" s="3">
        <v>4.5199999999999996</v>
      </c>
      <c r="N74" s="3">
        <v>0</v>
      </c>
      <c r="O74" s="3">
        <v>0</v>
      </c>
      <c r="P74" s="3">
        <v>4.5199999999999996</v>
      </c>
      <c r="Q74" s="3">
        <v>0</v>
      </c>
      <c r="R74" s="3">
        <v>0</v>
      </c>
      <c r="S74" s="5">
        <f>T74/AA$1</f>
        <v>0.99745199999999989</v>
      </c>
      <c r="T74" s="6">
        <f t="shared" si="2"/>
        <v>9974.5199999999986</v>
      </c>
      <c r="U74" s="8"/>
    </row>
    <row r="75" spans="1:21" x14ac:dyDescent="0.2">
      <c r="A75" s="4">
        <v>43832.75</v>
      </c>
      <c r="B75" s="3">
        <v>4.0299999999999994</v>
      </c>
      <c r="C75" s="3">
        <v>0</v>
      </c>
      <c r="D75" s="3">
        <v>0</v>
      </c>
      <c r="E75" s="3">
        <v>4.0299999999999994</v>
      </c>
      <c r="F75" s="3">
        <v>0</v>
      </c>
      <c r="G75" s="3">
        <v>0</v>
      </c>
      <c r="H75" s="3">
        <v>99.704899999999967</v>
      </c>
      <c r="I75" s="6">
        <v>9970.4899999999961</v>
      </c>
      <c r="J75" s="8"/>
      <c r="L75" s="3" t="s">
        <v>88</v>
      </c>
      <c r="M75" s="3">
        <v>4.03</v>
      </c>
      <c r="N75" s="3">
        <v>0</v>
      </c>
      <c r="O75" s="3">
        <v>0</v>
      </c>
      <c r="P75" s="3">
        <v>4.0299999999999994</v>
      </c>
      <c r="Q75" s="3">
        <v>0</v>
      </c>
      <c r="R75" s="3">
        <v>0</v>
      </c>
      <c r="S75" s="5">
        <f>T75/AA$1</f>
        <v>0.99704899999999974</v>
      </c>
      <c r="T75" s="6">
        <f t="shared" si="2"/>
        <v>9970.489999999998</v>
      </c>
      <c r="U75" s="8"/>
    </row>
    <row r="76" spans="1:21" x14ac:dyDescent="0.2">
      <c r="A76" s="4">
        <v>43832.760416666657</v>
      </c>
      <c r="B76" s="3">
        <v>8.4599999999999991</v>
      </c>
      <c r="C76" s="3">
        <v>0</v>
      </c>
      <c r="D76" s="3">
        <v>0</v>
      </c>
      <c r="E76" s="3">
        <v>8.4599999999999991</v>
      </c>
      <c r="F76" s="3">
        <v>0</v>
      </c>
      <c r="G76" s="3">
        <v>0</v>
      </c>
      <c r="H76" s="3">
        <v>99.620299999999972</v>
      </c>
      <c r="I76" s="6">
        <v>9962.029999999997</v>
      </c>
      <c r="J76" s="8"/>
      <c r="L76" s="3" t="s">
        <v>89</v>
      </c>
      <c r="M76" s="3">
        <v>8.4600000000000009</v>
      </c>
      <c r="N76" s="3">
        <v>0</v>
      </c>
      <c r="O76" s="3">
        <v>0</v>
      </c>
      <c r="P76" s="3">
        <v>8.4599999999999991</v>
      </c>
      <c r="Q76" s="3">
        <v>0</v>
      </c>
      <c r="R76" s="3">
        <v>0</v>
      </c>
      <c r="S76" s="5">
        <f>T76/AA$1</f>
        <v>0.99620299999999984</v>
      </c>
      <c r="T76" s="6">
        <f t="shared" si="2"/>
        <v>9962.0299999999988</v>
      </c>
      <c r="U76" s="8"/>
    </row>
    <row r="77" spans="1:21" x14ac:dyDescent="0.2">
      <c r="A77" s="4">
        <v>43832.770833333343</v>
      </c>
      <c r="B77" s="3">
        <v>29.68</v>
      </c>
      <c r="C77" s="3">
        <v>0</v>
      </c>
      <c r="D77" s="3">
        <v>0</v>
      </c>
      <c r="E77" s="3">
        <v>29.68</v>
      </c>
      <c r="F77" s="3">
        <v>0</v>
      </c>
      <c r="G77" s="3">
        <v>0</v>
      </c>
      <c r="H77" s="3">
        <v>99.323499999999967</v>
      </c>
      <c r="I77" s="6">
        <v>9932.3499999999967</v>
      </c>
      <c r="J77" s="8"/>
      <c r="L77" s="3" t="s">
        <v>90</v>
      </c>
      <c r="M77" s="3">
        <v>29.68</v>
      </c>
      <c r="N77" s="3">
        <v>0</v>
      </c>
      <c r="O77" s="3">
        <v>0</v>
      </c>
      <c r="P77" s="3">
        <v>29.68</v>
      </c>
      <c r="Q77" s="3">
        <v>0</v>
      </c>
      <c r="R77" s="3">
        <v>0</v>
      </c>
      <c r="S77" s="5">
        <f>T77/AA$1</f>
        <v>0.99323499999999987</v>
      </c>
      <c r="T77" s="6">
        <f t="shared" si="2"/>
        <v>9932.3499999999985</v>
      </c>
      <c r="U77" s="8"/>
    </row>
    <row r="78" spans="1:21" x14ac:dyDescent="0.2">
      <c r="A78" s="4">
        <v>43832.78125</v>
      </c>
      <c r="B78" s="3">
        <v>13.42</v>
      </c>
      <c r="C78" s="3">
        <v>0</v>
      </c>
      <c r="D78" s="3">
        <v>0</v>
      </c>
      <c r="E78" s="3">
        <v>13.42</v>
      </c>
      <c r="F78" s="3">
        <v>0</v>
      </c>
      <c r="G78" s="3">
        <v>0</v>
      </c>
      <c r="H78" s="3">
        <v>99.189299999999974</v>
      </c>
      <c r="I78" s="6">
        <v>9918.9299999999967</v>
      </c>
      <c r="J78" s="8"/>
      <c r="L78" s="3" t="s">
        <v>91</v>
      </c>
      <c r="M78" s="3">
        <v>13.42</v>
      </c>
      <c r="N78" s="3">
        <v>0</v>
      </c>
      <c r="O78" s="3">
        <v>0</v>
      </c>
      <c r="P78" s="3">
        <v>13.42</v>
      </c>
      <c r="Q78" s="3">
        <v>0</v>
      </c>
      <c r="R78" s="3">
        <v>0</v>
      </c>
      <c r="S78" s="5">
        <f>T78/AA$1</f>
        <v>0.9918929999999998</v>
      </c>
      <c r="T78" s="6">
        <f t="shared" si="2"/>
        <v>9918.9299999999985</v>
      </c>
      <c r="U78" s="8"/>
    </row>
    <row r="79" spans="1:21" x14ac:dyDescent="0.2">
      <c r="A79" s="4">
        <v>43832.791666666657</v>
      </c>
      <c r="B79" s="3">
        <v>4.12</v>
      </c>
      <c r="C79" s="3">
        <v>0</v>
      </c>
      <c r="D79" s="3">
        <v>0</v>
      </c>
      <c r="E79" s="3">
        <v>4.12</v>
      </c>
      <c r="F79" s="3">
        <v>0</v>
      </c>
      <c r="G79" s="3">
        <v>0</v>
      </c>
      <c r="H79" s="3">
        <v>99.148099999999957</v>
      </c>
      <c r="I79" s="6">
        <v>9914.8099999999959</v>
      </c>
      <c r="J79" s="8"/>
      <c r="L79" s="3" t="s">
        <v>92</v>
      </c>
      <c r="M79" s="3">
        <v>4.12</v>
      </c>
      <c r="N79" s="3">
        <v>0</v>
      </c>
      <c r="O79" s="3">
        <v>0</v>
      </c>
      <c r="P79" s="3">
        <v>4.12</v>
      </c>
      <c r="Q79" s="3">
        <v>0</v>
      </c>
      <c r="R79" s="3">
        <v>0</v>
      </c>
      <c r="S79" s="5">
        <f>T79/AA$1</f>
        <v>0.99148099999999972</v>
      </c>
      <c r="T79" s="6">
        <f t="shared" si="2"/>
        <v>9914.8099999999977</v>
      </c>
      <c r="U79" s="8"/>
    </row>
    <row r="80" spans="1:21" x14ac:dyDescent="0.2">
      <c r="A80" s="4">
        <v>43832.802083333343</v>
      </c>
      <c r="B80" s="3">
        <v>4.2200000000000006</v>
      </c>
      <c r="C80" s="3">
        <v>0</v>
      </c>
      <c r="D80" s="3">
        <v>0</v>
      </c>
      <c r="E80" s="3">
        <v>4.2200000000000006</v>
      </c>
      <c r="F80" s="3">
        <v>0</v>
      </c>
      <c r="G80" s="3">
        <v>0</v>
      </c>
      <c r="H80" s="3">
        <v>99.105899999999963</v>
      </c>
      <c r="I80" s="6">
        <v>9910.5899999999965</v>
      </c>
      <c r="J80" s="8"/>
      <c r="L80" s="3" t="s">
        <v>93</v>
      </c>
      <c r="M80" s="3">
        <v>4.22</v>
      </c>
      <c r="N80" s="3">
        <v>0</v>
      </c>
      <c r="O80" s="3">
        <v>0</v>
      </c>
      <c r="P80" s="3">
        <v>4.2200000000000006</v>
      </c>
      <c r="Q80" s="3">
        <v>0</v>
      </c>
      <c r="R80" s="3">
        <v>0</v>
      </c>
      <c r="S80" s="5">
        <f>T80/AA$1</f>
        <v>0.9910589999999998</v>
      </c>
      <c r="T80" s="6">
        <f t="shared" si="2"/>
        <v>9910.5899999999983</v>
      </c>
      <c r="U80" s="8"/>
    </row>
    <row r="81" spans="1:21" x14ac:dyDescent="0.2">
      <c r="A81" s="4">
        <v>43832.8125</v>
      </c>
      <c r="B81" s="3">
        <v>4.49</v>
      </c>
      <c r="C81" s="3">
        <v>0</v>
      </c>
      <c r="D81" s="3">
        <v>0</v>
      </c>
      <c r="E81" s="3">
        <v>4.49</v>
      </c>
      <c r="F81" s="3">
        <v>0</v>
      </c>
      <c r="G81" s="3">
        <v>0</v>
      </c>
      <c r="H81" s="3">
        <v>99.060999999999964</v>
      </c>
      <c r="I81" s="6">
        <v>9906.0999999999967</v>
      </c>
      <c r="J81" s="8"/>
      <c r="L81" s="3" t="s">
        <v>94</v>
      </c>
      <c r="M81" s="3">
        <v>4.49</v>
      </c>
      <c r="N81" s="3">
        <v>0</v>
      </c>
      <c r="O81" s="3">
        <v>0</v>
      </c>
      <c r="P81" s="3">
        <v>4.49</v>
      </c>
      <c r="Q81" s="3">
        <v>0</v>
      </c>
      <c r="R81" s="3">
        <v>0</v>
      </c>
      <c r="S81" s="5">
        <f>T81/AA$1</f>
        <v>0.99060999999999988</v>
      </c>
      <c r="T81" s="6">
        <f t="shared" si="2"/>
        <v>9906.0999999999985</v>
      </c>
      <c r="U81" s="8"/>
    </row>
    <row r="82" spans="1:21" x14ac:dyDescent="0.2">
      <c r="A82" s="4">
        <v>43832.822916666657</v>
      </c>
      <c r="B82" s="3">
        <v>4.2899999999999991</v>
      </c>
      <c r="C82" s="3">
        <v>0</v>
      </c>
      <c r="D82" s="3">
        <v>0</v>
      </c>
      <c r="E82" s="3">
        <v>4.2899999999999991</v>
      </c>
      <c r="F82" s="3">
        <v>0</v>
      </c>
      <c r="G82" s="3">
        <v>0</v>
      </c>
      <c r="H82" s="3">
        <v>99.018099999999947</v>
      </c>
      <c r="I82" s="6">
        <v>9901.8099999999959</v>
      </c>
      <c r="J82" s="8"/>
      <c r="L82" s="3" t="s">
        <v>95</v>
      </c>
      <c r="M82" s="3">
        <v>4.29</v>
      </c>
      <c r="N82" s="3">
        <v>0</v>
      </c>
      <c r="O82" s="3">
        <v>0</v>
      </c>
      <c r="P82" s="3">
        <v>4.2899999999999991</v>
      </c>
      <c r="Q82" s="3">
        <v>0</v>
      </c>
      <c r="R82" s="3">
        <v>0</v>
      </c>
      <c r="S82" s="5">
        <f>T82/AA$1</f>
        <v>0.99018099999999976</v>
      </c>
      <c r="T82" s="6">
        <f t="shared" si="2"/>
        <v>9901.8099999999977</v>
      </c>
      <c r="U82" s="8"/>
    </row>
    <row r="83" spans="1:21" x14ac:dyDescent="0.2">
      <c r="A83" s="4">
        <v>43832.833333333343</v>
      </c>
      <c r="B83" s="3">
        <v>4.08</v>
      </c>
      <c r="C83" s="3">
        <v>0</v>
      </c>
      <c r="D83" s="3">
        <v>0</v>
      </c>
      <c r="E83" s="3">
        <v>4.08</v>
      </c>
      <c r="F83" s="3">
        <v>0</v>
      </c>
      <c r="G83" s="3">
        <v>0</v>
      </c>
      <c r="H83" s="3">
        <v>98.977299999999957</v>
      </c>
      <c r="I83" s="6">
        <v>9897.7299999999959</v>
      </c>
      <c r="J83" s="8"/>
      <c r="L83" s="3" t="s">
        <v>96</v>
      </c>
      <c r="M83" s="3">
        <v>4.08</v>
      </c>
      <c r="N83" s="3">
        <v>0</v>
      </c>
      <c r="O83" s="3">
        <v>0</v>
      </c>
      <c r="P83" s="3">
        <v>4.08</v>
      </c>
      <c r="Q83" s="3">
        <v>0</v>
      </c>
      <c r="R83" s="3">
        <v>0</v>
      </c>
      <c r="S83" s="5">
        <f>T83/AA$1</f>
        <v>0.98977299999999979</v>
      </c>
      <c r="T83" s="6">
        <f t="shared" si="2"/>
        <v>9897.7299999999977</v>
      </c>
      <c r="U83" s="8"/>
    </row>
    <row r="84" spans="1:21" x14ac:dyDescent="0.2">
      <c r="A84" s="4">
        <v>43832.84375</v>
      </c>
      <c r="B84" s="3">
        <v>4.08</v>
      </c>
      <c r="C84" s="3">
        <v>0</v>
      </c>
      <c r="D84" s="3">
        <v>0</v>
      </c>
      <c r="E84" s="3">
        <v>4.08</v>
      </c>
      <c r="F84" s="3">
        <v>0</v>
      </c>
      <c r="G84" s="3">
        <v>0</v>
      </c>
      <c r="H84" s="3">
        <v>98.936499999999967</v>
      </c>
      <c r="I84" s="6">
        <v>9893.649999999996</v>
      </c>
      <c r="J84" s="8"/>
      <c r="L84" s="3" t="s">
        <v>97</v>
      </c>
      <c r="M84" s="3">
        <v>4.08</v>
      </c>
      <c r="N84" s="3">
        <v>0</v>
      </c>
      <c r="O84" s="3">
        <v>0</v>
      </c>
      <c r="P84" s="3">
        <v>4.08</v>
      </c>
      <c r="Q84" s="3">
        <v>0</v>
      </c>
      <c r="R84" s="3">
        <v>0</v>
      </c>
      <c r="S84" s="5">
        <f>T84/AA$1</f>
        <v>0.98936499999999983</v>
      </c>
      <c r="T84" s="6">
        <f t="shared" si="2"/>
        <v>9893.6499999999978</v>
      </c>
      <c r="U84" s="8"/>
    </row>
    <row r="85" spans="1:21" x14ac:dyDescent="0.2">
      <c r="A85" s="4">
        <v>43832.854166666657</v>
      </c>
      <c r="B85" s="3">
        <v>4.3999999999999986</v>
      </c>
      <c r="C85" s="3">
        <v>0</v>
      </c>
      <c r="D85" s="3">
        <v>0</v>
      </c>
      <c r="E85" s="3">
        <v>4.3999999999999986</v>
      </c>
      <c r="F85" s="3">
        <v>0</v>
      </c>
      <c r="G85" s="3">
        <v>0</v>
      </c>
      <c r="H85" s="3">
        <v>98.892499999999956</v>
      </c>
      <c r="I85" s="6">
        <v>9889.2499999999964</v>
      </c>
      <c r="J85" s="8"/>
      <c r="L85" s="3" t="s">
        <v>98</v>
      </c>
      <c r="M85" s="3">
        <v>4.4000000000000004</v>
      </c>
      <c r="N85" s="3">
        <v>0</v>
      </c>
      <c r="O85" s="3">
        <v>0</v>
      </c>
      <c r="P85" s="3">
        <v>4.3999999999999986</v>
      </c>
      <c r="Q85" s="3">
        <v>0</v>
      </c>
      <c r="R85" s="3">
        <v>0</v>
      </c>
      <c r="S85" s="5">
        <f>T85/AA$1</f>
        <v>0.98892499999999983</v>
      </c>
      <c r="T85" s="6">
        <f t="shared" si="2"/>
        <v>9889.2499999999982</v>
      </c>
      <c r="U85" s="8"/>
    </row>
    <row r="86" spans="1:21" x14ac:dyDescent="0.2">
      <c r="A86" s="4">
        <v>43832.864583333343</v>
      </c>
      <c r="B86" s="3">
        <v>4.16</v>
      </c>
      <c r="C86" s="3">
        <v>0</v>
      </c>
      <c r="D86" s="3">
        <v>0</v>
      </c>
      <c r="E86" s="3">
        <v>4.16</v>
      </c>
      <c r="F86" s="3">
        <v>0</v>
      </c>
      <c r="G86" s="3">
        <v>0</v>
      </c>
      <c r="H86" s="3">
        <v>98.850899999999967</v>
      </c>
      <c r="I86" s="6">
        <v>9885.0899999999965</v>
      </c>
      <c r="J86" s="8"/>
      <c r="L86" s="3" t="s">
        <v>99</v>
      </c>
      <c r="M86" s="3">
        <v>4.16</v>
      </c>
      <c r="N86" s="3">
        <v>0</v>
      </c>
      <c r="O86" s="3">
        <v>0</v>
      </c>
      <c r="P86" s="3">
        <v>4.16</v>
      </c>
      <c r="Q86" s="3">
        <v>0</v>
      </c>
      <c r="R86" s="3">
        <v>0</v>
      </c>
      <c r="S86" s="5">
        <f>T86/AA$1</f>
        <v>0.98850899999999986</v>
      </c>
      <c r="T86" s="6">
        <f t="shared" si="2"/>
        <v>9885.0899999999983</v>
      </c>
      <c r="U86" s="8"/>
    </row>
    <row r="87" spans="1:21" x14ac:dyDescent="0.2">
      <c r="A87" s="4">
        <v>43832.875</v>
      </c>
      <c r="B87" s="3">
        <v>4.08</v>
      </c>
      <c r="C87" s="3">
        <v>0</v>
      </c>
      <c r="D87" s="3">
        <v>0</v>
      </c>
      <c r="E87" s="3">
        <v>4.08</v>
      </c>
      <c r="F87" s="3">
        <v>0</v>
      </c>
      <c r="G87" s="3">
        <v>0</v>
      </c>
      <c r="H87" s="3">
        <v>98.810099999999963</v>
      </c>
      <c r="I87" s="6">
        <v>9881.0099999999966</v>
      </c>
      <c r="J87" s="8"/>
      <c r="L87" s="3" t="s">
        <v>100</v>
      </c>
      <c r="M87" s="3">
        <v>4.08</v>
      </c>
      <c r="N87" s="3">
        <v>0</v>
      </c>
      <c r="O87" s="3">
        <v>0</v>
      </c>
      <c r="P87" s="3">
        <v>4.08</v>
      </c>
      <c r="Q87" s="3">
        <v>0</v>
      </c>
      <c r="R87" s="3">
        <v>0</v>
      </c>
      <c r="S87" s="5">
        <f>T87/AA$1</f>
        <v>0.98810099999999979</v>
      </c>
      <c r="T87" s="6">
        <f t="shared" si="2"/>
        <v>9881.0099999999984</v>
      </c>
      <c r="U87" s="8"/>
    </row>
    <row r="88" spans="1:21" x14ac:dyDescent="0.2">
      <c r="A88" s="4">
        <v>43832.885416666657</v>
      </c>
      <c r="B88" s="3">
        <v>21.81</v>
      </c>
      <c r="C88" s="3">
        <v>0</v>
      </c>
      <c r="D88" s="3">
        <v>0.2</v>
      </c>
      <c r="E88" s="3">
        <v>22.01</v>
      </c>
      <c r="F88" s="3">
        <v>0</v>
      </c>
      <c r="G88" s="3">
        <v>0</v>
      </c>
      <c r="H88" s="3">
        <v>98.59199999999997</v>
      </c>
      <c r="I88" s="6">
        <v>9859.1999999999971</v>
      </c>
      <c r="J88" s="8"/>
      <c r="L88" s="3" t="s">
        <v>101</v>
      </c>
      <c r="M88" s="3">
        <v>21.81</v>
      </c>
      <c r="N88" s="3">
        <v>0</v>
      </c>
      <c r="O88" s="3">
        <v>0.2</v>
      </c>
      <c r="P88" s="3">
        <v>22.01</v>
      </c>
      <c r="Q88" s="3">
        <v>0</v>
      </c>
      <c r="R88" s="3">
        <v>0</v>
      </c>
      <c r="S88" s="5">
        <f>T88/AA$1</f>
        <v>0.98591999999999991</v>
      </c>
      <c r="T88" s="6">
        <f t="shared" si="2"/>
        <v>9859.1999999999989</v>
      </c>
      <c r="U88" s="8"/>
    </row>
    <row r="89" spans="1:21" x14ac:dyDescent="0.2">
      <c r="A89" s="4">
        <v>43832.895833333343</v>
      </c>
      <c r="B89" s="3">
        <v>26.919999999999991</v>
      </c>
      <c r="C89" s="3">
        <v>0</v>
      </c>
      <c r="D89" s="3">
        <v>0</v>
      </c>
      <c r="E89" s="3">
        <v>26.919999999999991</v>
      </c>
      <c r="F89" s="3">
        <v>0</v>
      </c>
      <c r="G89" s="3">
        <v>0</v>
      </c>
      <c r="H89" s="3">
        <v>98.322799999999972</v>
      </c>
      <c r="I89" s="6">
        <v>9832.279999999997</v>
      </c>
      <c r="J89" s="8"/>
      <c r="L89" s="3" t="s">
        <v>102</v>
      </c>
      <c r="M89" s="3">
        <v>26.92</v>
      </c>
      <c r="N89" s="3">
        <v>0</v>
      </c>
      <c r="O89" s="3">
        <v>0</v>
      </c>
      <c r="P89" s="3">
        <v>26.919999999999991</v>
      </c>
      <c r="Q89" s="3">
        <v>0</v>
      </c>
      <c r="R89" s="3">
        <v>0</v>
      </c>
      <c r="S89" s="5">
        <f>T89/AA$1</f>
        <v>0.98322799999999988</v>
      </c>
      <c r="T89" s="6">
        <f t="shared" si="2"/>
        <v>9832.2799999999988</v>
      </c>
      <c r="U89" s="8"/>
    </row>
    <row r="90" spans="1:21" x14ac:dyDescent="0.2">
      <c r="A90" s="4">
        <v>43832.90625</v>
      </c>
      <c r="B90" s="3">
        <v>3.67</v>
      </c>
      <c r="C90" s="3">
        <v>0</v>
      </c>
      <c r="D90" s="3">
        <v>0</v>
      </c>
      <c r="E90" s="3">
        <v>3.67</v>
      </c>
      <c r="F90" s="3">
        <v>0</v>
      </c>
      <c r="G90" s="3">
        <v>0</v>
      </c>
      <c r="H90" s="3">
        <v>98.286099999999962</v>
      </c>
      <c r="I90" s="6">
        <v>9828.6099999999969</v>
      </c>
      <c r="J90" s="8"/>
      <c r="L90" s="3" t="s">
        <v>103</v>
      </c>
      <c r="M90" s="3">
        <v>3.67</v>
      </c>
      <c r="N90" s="3">
        <v>0</v>
      </c>
      <c r="O90" s="3">
        <v>0</v>
      </c>
      <c r="P90" s="3">
        <v>3.67</v>
      </c>
      <c r="Q90" s="3">
        <v>0</v>
      </c>
      <c r="R90" s="3">
        <v>0</v>
      </c>
      <c r="S90" s="5">
        <f>T90/AA$1</f>
        <v>0.98286099999999987</v>
      </c>
      <c r="T90" s="6">
        <f t="shared" si="2"/>
        <v>9828.6099999999988</v>
      </c>
      <c r="U90" s="8"/>
    </row>
    <row r="91" spans="1:21" x14ac:dyDescent="0.2">
      <c r="A91" s="4">
        <v>43832.916666666657</v>
      </c>
      <c r="B91" s="3">
        <v>3.57</v>
      </c>
      <c r="C91" s="3">
        <v>0</v>
      </c>
      <c r="D91" s="3">
        <v>0</v>
      </c>
      <c r="E91" s="3">
        <v>3.57</v>
      </c>
      <c r="F91" s="3">
        <v>0</v>
      </c>
      <c r="G91" s="3">
        <v>0</v>
      </c>
      <c r="H91" s="3">
        <v>98.250399999999971</v>
      </c>
      <c r="I91" s="6">
        <v>9825.0399999999972</v>
      </c>
      <c r="J91" s="8"/>
      <c r="L91" s="3" t="s">
        <v>104</v>
      </c>
      <c r="M91" s="3">
        <v>3.57</v>
      </c>
      <c r="N91" s="3">
        <v>0</v>
      </c>
      <c r="O91" s="3">
        <v>0</v>
      </c>
      <c r="P91" s="3">
        <v>3.57</v>
      </c>
      <c r="Q91" s="3">
        <v>0</v>
      </c>
      <c r="R91" s="3">
        <v>0</v>
      </c>
      <c r="S91" s="5">
        <f>T91/AA$1</f>
        <v>0.98250399999999993</v>
      </c>
      <c r="T91" s="6">
        <f t="shared" si="2"/>
        <v>9825.0399999999991</v>
      </c>
      <c r="U91" s="8"/>
    </row>
    <row r="92" spans="1:21" x14ac:dyDescent="0.2">
      <c r="A92" s="4">
        <v>43832.927083333343</v>
      </c>
      <c r="B92" s="3">
        <v>3.8800000000000008</v>
      </c>
      <c r="C92" s="3">
        <v>0</v>
      </c>
      <c r="D92" s="3">
        <v>0</v>
      </c>
      <c r="E92" s="3">
        <v>3.8800000000000008</v>
      </c>
      <c r="F92" s="3">
        <v>0</v>
      </c>
      <c r="G92" s="3">
        <v>0</v>
      </c>
      <c r="H92" s="3">
        <v>98.211599999999976</v>
      </c>
      <c r="I92" s="6">
        <v>9821.159999999998</v>
      </c>
      <c r="J92" s="8"/>
      <c r="L92" s="3" t="s">
        <v>105</v>
      </c>
      <c r="M92" s="3">
        <v>3.88</v>
      </c>
      <c r="N92" s="3">
        <v>0</v>
      </c>
      <c r="O92" s="3">
        <v>0</v>
      </c>
      <c r="P92" s="3">
        <v>3.8800000000000008</v>
      </c>
      <c r="Q92" s="3">
        <v>0</v>
      </c>
      <c r="R92" s="3">
        <v>0</v>
      </c>
      <c r="S92" s="5">
        <f>T92/AA$1</f>
        <v>0.98211599999999999</v>
      </c>
      <c r="T92" s="6">
        <f t="shared" si="2"/>
        <v>9821.16</v>
      </c>
      <c r="U92" s="8"/>
    </row>
    <row r="93" spans="1:21" x14ac:dyDescent="0.2">
      <c r="A93" s="4">
        <v>43832.9375</v>
      </c>
      <c r="B93" s="3">
        <v>4.5399999999999991</v>
      </c>
      <c r="C93" s="3">
        <v>0</v>
      </c>
      <c r="D93" s="3">
        <v>0</v>
      </c>
      <c r="E93" s="3">
        <v>4.5399999999999991</v>
      </c>
      <c r="F93" s="3">
        <v>0</v>
      </c>
      <c r="G93" s="3">
        <v>0</v>
      </c>
      <c r="H93" s="3">
        <v>98.166199999999975</v>
      </c>
      <c r="I93" s="6">
        <v>9816.6199999999972</v>
      </c>
      <c r="J93" s="8"/>
      <c r="L93" s="3" t="s">
        <v>106</v>
      </c>
      <c r="M93" s="3">
        <v>4.54</v>
      </c>
      <c r="N93" s="3">
        <v>0</v>
      </c>
      <c r="O93" s="3">
        <v>0</v>
      </c>
      <c r="P93" s="3">
        <v>4.5399999999999991</v>
      </c>
      <c r="Q93" s="3">
        <v>0</v>
      </c>
      <c r="R93" s="3">
        <v>0</v>
      </c>
      <c r="S93" s="5">
        <f>T93/AA$1</f>
        <v>0.98166199999999992</v>
      </c>
      <c r="T93" s="6">
        <f t="shared" si="2"/>
        <v>9816.619999999999</v>
      </c>
      <c r="U93" s="8"/>
    </row>
    <row r="94" spans="1:21" x14ac:dyDescent="0.2">
      <c r="A94" s="4">
        <v>43832.947916666657</v>
      </c>
      <c r="B94" s="3">
        <v>4.33</v>
      </c>
      <c r="C94" s="3">
        <v>0</v>
      </c>
      <c r="D94" s="3">
        <v>0</v>
      </c>
      <c r="E94" s="3">
        <v>4.33</v>
      </c>
      <c r="F94" s="3">
        <v>0</v>
      </c>
      <c r="G94" s="3">
        <v>0</v>
      </c>
      <c r="H94" s="3">
        <v>98.122899999999973</v>
      </c>
      <c r="I94" s="6">
        <v>9812.2899999999972</v>
      </c>
      <c r="J94" s="8"/>
      <c r="L94" s="3" t="s">
        <v>107</v>
      </c>
      <c r="M94" s="3">
        <v>4.33</v>
      </c>
      <c r="N94" s="3">
        <v>0</v>
      </c>
      <c r="O94" s="3">
        <v>0</v>
      </c>
      <c r="P94" s="3">
        <v>4.33</v>
      </c>
      <c r="Q94" s="3">
        <v>0</v>
      </c>
      <c r="R94" s="3">
        <v>0</v>
      </c>
      <c r="S94" s="5">
        <f>T94/AA$1</f>
        <v>0.98122899999999991</v>
      </c>
      <c r="T94" s="6">
        <f t="shared" si="2"/>
        <v>9812.2899999999991</v>
      </c>
      <c r="U94" s="8"/>
    </row>
    <row r="95" spans="1:21" x14ac:dyDescent="0.2">
      <c r="A95" s="4">
        <v>43832.958333333343</v>
      </c>
      <c r="B95" s="3">
        <v>4.5999999999999996</v>
      </c>
      <c r="C95" s="3">
        <v>0</v>
      </c>
      <c r="D95" s="3">
        <v>0</v>
      </c>
      <c r="E95" s="3">
        <v>4.5999999999999996</v>
      </c>
      <c r="F95" s="3">
        <v>0</v>
      </c>
      <c r="G95" s="3">
        <v>0</v>
      </c>
      <c r="H95" s="3">
        <v>98.076899999999966</v>
      </c>
      <c r="I95" s="6">
        <v>9807.6899999999969</v>
      </c>
      <c r="J95" s="8"/>
      <c r="L95" s="3" t="s">
        <v>108</v>
      </c>
      <c r="M95" s="3">
        <v>4.5999999999999996</v>
      </c>
      <c r="N95" s="3">
        <v>0</v>
      </c>
      <c r="O95" s="3">
        <v>0</v>
      </c>
      <c r="P95" s="3">
        <v>4.5999999999999996</v>
      </c>
      <c r="Q95" s="3">
        <v>0</v>
      </c>
      <c r="R95" s="3">
        <v>0</v>
      </c>
      <c r="S95" s="5">
        <f>T95/AA$1</f>
        <v>0.98076899999999989</v>
      </c>
      <c r="T95" s="6">
        <f t="shared" si="2"/>
        <v>9807.6899999999987</v>
      </c>
      <c r="U95" s="8"/>
    </row>
    <row r="96" spans="1:21" x14ac:dyDescent="0.2">
      <c r="A96" s="4">
        <v>43832.96875</v>
      </c>
      <c r="B96" s="3">
        <v>4.419999999999999</v>
      </c>
      <c r="C96" s="3">
        <v>0</v>
      </c>
      <c r="D96" s="3">
        <v>0</v>
      </c>
      <c r="E96" s="3">
        <v>4.419999999999999</v>
      </c>
      <c r="F96" s="3">
        <v>0</v>
      </c>
      <c r="G96" s="3">
        <v>0</v>
      </c>
      <c r="H96" s="3">
        <v>98.032699999999977</v>
      </c>
      <c r="I96" s="6">
        <v>9803.2699999999968</v>
      </c>
      <c r="J96" s="8"/>
      <c r="L96" s="3" t="s">
        <v>109</v>
      </c>
      <c r="M96" s="3">
        <v>4.42</v>
      </c>
      <c r="N96" s="3">
        <v>0</v>
      </c>
      <c r="O96" s="3">
        <v>0</v>
      </c>
      <c r="P96" s="3">
        <v>4.419999999999999</v>
      </c>
      <c r="Q96" s="3">
        <v>0</v>
      </c>
      <c r="R96" s="3">
        <v>0</v>
      </c>
      <c r="S96" s="5">
        <f>T96/AA$1</f>
        <v>0.98032699999999984</v>
      </c>
      <c r="T96" s="6">
        <f t="shared" si="2"/>
        <v>9803.2699999999986</v>
      </c>
      <c r="U96" s="8"/>
    </row>
    <row r="97" spans="1:21" x14ac:dyDescent="0.2">
      <c r="A97" s="4">
        <v>43832.979166666657</v>
      </c>
      <c r="B97" s="3">
        <v>4.5999999999999996</v>
      </c>
      <c r="C97" s="3">
        <v>0</v>
      </c>
      <c r="D97" s="3">
        <v>0</v>
      </c>
      <c r="E97" s="3">
        <v>4.5999999999999996</v>
      </c>
      <c r="F97" s="3">
        <v>0</v>
      </c>
      <c r="G97" s="3">
        <v>0</v>
      </c>
      <c r="H97" s="3">
        <v>97.986699999999956</v>
      </c>
      <c r="I97" s="6">
        <v>9798.6699999999964</v>
      </c>
      <c r="J97" s="8"/>
      <c r="L97" s="3" t="s">
        <v>110</v>
      </c>
      <c r="M97" s="3">
        <v>4.5999999999999996</v>
      </c>
      <c r="N97" s="3">
        <v>0</v>
      </c>
      <c r="O97" s="3">
        <v>0</v>
      </c>
      <c r="P97" s="3">
        <v>4.5999999999999996</v>
      </c>
      <c r="Q97" s="3">
        <v>0</v>
      </c>
      <c r="R97" s="3">
        <v>0</v>
      </c>
      <c r="S97" s="5">
        <f>T97/AA$1</f>
        <v>0.97986699999999982</v>
      </c>
      <c r="T97" s="6">
        <f t="shared" si="2"/>
        <v>9798.6699999999983</v>
      </c>
      <c r="U97" s="8"/>
    </row>
    <row r="98" spans="1:21" x14ac:dyDescent="0.2">
      <c r="A98" s="4">
        <v>43832.989583333343</v>
      </c>
      <c r="B98" s="3">
        <v>4.58</v>
      </c>
      <c r="C98" s="3">
        <v>0</v>
      </c>
      <c r="D98" s="3">
        <v>0</v>
      </c>
      <c r="E98" s="3">
        <v>4.58</v>
      </c>
      <c r="F98" s="3">
        <v>0</v>
      </c>
      <c r="G98" s="3">
        <v>0</v>
      </c>
      <c r="H98" s="3">
        <v>97.940899999999971</v>
      </c>
      <c r="I98" s="6">
        <v>9794.0899999999965</v>
      </c>
      <c r="J98" s="8"/>
      <c r="L98" s="3" t="s">
        <v>111</v>
      </c>
      <c r="M98" s="3">
        <v>4.58</v>
      </c>
      <c r="N98" s="3">
        <v>0</v>
      </c>
      <c r="O98" s="3">
        <v>0</v>
      </c>
      <c r="P98" s="3">
        <v>4.58</v>
      </c>
      <c r="Q98" s="3">
        <v>0</v>
      </c>
      <c r="R98" s="3">
        <v>0</v>
      </c>
      <c r="S98" s="5">
        <f>T98/AA$1</f>
        <v>0.97940899999999986</v>
      </c>
      <c r="T98" s="6">
        <f t="shared" si="2"/>
        <v>9794.0899999999983</v>
      </c>
      <c r="U98" s="8"/>
    </row>
    <row r="99" spans="1:21" x14ac:dyDescent="0.2">
      <c r="A99" s="4">
        <v>43832.999988425923</v>
      </c>
      <c r="B99" s="3">
        <v>4.1599999999999993</v>
      </c>
      <c r="C99" s="3">
        <v>0</v>
      </c>
      <c r="D99" s="3">
        <v>0</v>
      </c>
      <c r="E99" s="3">
        <v>4.1599999999999993</v>
      </c>
      <c r="F99" s="3">
        <v>0</v>
      </c>
      <c r="G99" s="3">
        <v>0</v>
      </c>
      <c r="H99" s="3">
        <v>97.899299999999968</v>
      </c>
      <c r="I99" s="6">
        <v>9789.9299999999967</v>
      </c>
      <c r="J99" s="8"/>
      <c r="L99" s="3" t="s">
        <v>112</v>
      </c>
      <c r="M99" s="3">
        <v>4.16</v>
      </c>
      <c r="N99" s="3">
        <v>0</v>
      </c>
      <c r="O99" s="3">
        <v>0</v>
      </c>
      <c r="P99" s="3">
        <v>4.1599999999999993</v>
      </c>
      <c r="Q99" s="3">
        <v>0</v>
      </c>
      <c r="R99" s="3">
        <v>0</v>
      </c>
      <c r="S99" s="5">
        <f>T99/AA$1</f>
        <v>0.97899299999999989</v>
      </c>
      <c r="T99" s="6">
        <f t="shared" si="2"/>
        <v>9789.9299999999985</v>
      </c>
      <c r="U99" s="8"/>
    </row>
    <row r="100" spans="1:21" ht="16" thickBot="1" x14ac:dyDescent="0.25">
      <c r="F100">
        <f>SUM(F3:F99)</f>
        <v>2670.8300000000017</v>
      </c>
      <c r="G100">
        <f>SUM(G3:G99)</f>
        <v>0</v>
      </c>
      <c r="Q100">
        <f>SUM(Q3:Q99)</f>
        <v>2133.83</v>
      </c>
      <c r="R100">
        <f>SUM(R3:R99)</f>
        <v>0</v>
      </c>
    </row>
    <row r="101" spans="1:21" ht="16" thickBot="1" x14ac:dyDescent="0.25">
      <c r="G101" s="9" t="s">
        <v>118</v>
      </c>
      <c r="H101" s="10"/>
      <c r="I101" s="10"/>
      <c r="J101" s="11">
        <f>F100-Q100</f>
        <v>537.00000000000182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2020-01-01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2025-10-08T13:34:30Z</dcterms:created>
  <dcterms:modified xsi:type="dcterms:W3CDTF">2025-10-08T13:43:07Z</dcterms:modified>
</cp:coreProperties>
</file>
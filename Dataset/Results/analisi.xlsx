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Results/"/>
    </mc:Choice>
  </mc:AlternateContent>
  <xr:revisionPtr revIDLastSave="0" documentId="13_ncr:9_{9C0EEAB2-5388-F645-913F-97214388E9A7}" xr6:coauthVersionLast="47" xr6:coauthVersionMax="47" xr10:uidLastSave="{00000000-0000-0000-0000-000000000000}"/>
  <bookViews>
    <workbookView xWindow="1360" yWindow="760" windowWidth="28040" windowHeight="16660" activeTab="4" xr2:uid="{6EB0AFCA-229A-3D44-8F13-E77545C8FCAF}"/>
  </bookViews>
  <sheets>
    <sheet name="H1 (2)" sheetId="5" r:id="rId1"/>
    <sheet name="H1" sheetId="4" r:id="rId2"/>
    <sheet name="2020-01-01_Wh_original" sheetId="8" r:id="rId3"/>
    <sheet name="2020-01-01_Wh_results" sheetId="7" r:id="rId4"/>
    <sheet name="2020-01-01_Wh_results_limits" sheetId="13" r:id="rId5"/>
    <sheet name="2020-01-01_Wh_15min_original" sheetId="10" r:id="rId6"/>
    <sheet name="H1_15min_Wh_results" sheetId="11" r:id="rId7"/>
    <sheet name="Foglio1" sheetId="3" r:id="rId8"/>
  </sheets>
  <definedNames>
    <definedName name="DatiEsterni_1" localSheetId="2" hidden="1">'2020-01-01_Wh_original'!$A$1:$G$25</definedName>
    <definedName name="DatiEsterni_1" localSheetId="3" hidden="1">'2020-01-01_Wh_results'!$A$1:$G$25</definedName>
    <definedName name="DatiEsterni_1" localSheetId="1" hidden="1">'H1'!$A$1:$E$25</definedName>
    <definedName name="DatiEsterni_2" localSheetId="5" hidden="1">'2020-01-01_Wh_15min_original'!$A$1:$G$94</definedName>
    <definedName name="DatiEsterni_2" localSheetId="4" hidden="1">'2020-01-01_Wh_results_limits'!$A$1:$G$26</definedName>
    <definedName name="DatiEsterni_2" localSheetId="0" hidden="1">'H1 (2)'!$A$1:$G$25</definedName>
    <definedName name="DatiEsterni_3" localSheetId="6" hidden="1">H1_15min_Wh_results!$A$1:$G$94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3" i="13" l="1"/>
  <c r="I4" i="13" s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J26" i="13" s="1"/>
  <c r="J11" i="13"/>
  <c r="L13" i="13"/>
  <c r="B29" i="7"/>
  <c r="C29" i="7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I3" i="1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L13" i="7"/>
  <c r="E28" i="7"/>
  <c r="P25" i="8"/>
  <c r="O25" i="8"/>
  <c r="N25" i="8"/>
  <c r="M25" i="8"/>
  <c r="L25" i="8"/>
  <c r="K25" i="8"/>
  <c r="J25" i="8"/>
  <c r="I25" i="8"/>
  <c r="P24" i="8"/>
  <c r="O24" i="8"/>
  <c r="N24" i="8"/>
  <c r="M24" i="8"/>
  <c r="L24" i="8"/>
  <c r="K24" i="8"/>
  <c r="J24" i="8"/>
  <c r="I24" i="8"/>
  <c r="P23" i="8"/>
  <c r="O23" i="8"/>
  <c r="N23" i="8"/>
  <c r="M23" i="8"/>
  <c r="L23" i="8"/>
  <c r="K23" i="8"/>
  <c r="J23" i="8"/>
  <c r="I23" i="8"/>
  <c r="P22" i="8"/>
  <c r="O22" i="8"/>
  <c r="N22" i="8"/>
  <c r="M22" i="8"/>
  <c r="L22" i="8"/>
  <c r="K22" i="8"/>
  <c r="J22" i="8"/>
  <c r="I22" i="8"/>
  <c r="P21" i="8"/>
  <c r="O21" i="8"/>
  <c r="N21" i="8"/>
  <c r="M21" i="8"/>
  <c r="L21" i="8"/>
  <c r="K21" i="8"/>
  <c r="J21" i="8"/>
  <c r="I21" i="8"/>
  <c r="P20" i="8"/>
  <c r="O20" i="8"/>
  <c r="N20" i="8"/>
  <c r="M20" i="8"/>
  <c r="L20" i="8"/>
  <c r="K20" i="8"/>
  <c r="J20" i="8"/>
  <c r="I20" i="8"/>
  <c r="P19" i="8"/>
  <c r="O19" i="8"/>
  <c r="N19" i="8"/>
  <c r="M19" i="8"/>
  <c r="L19" i="8"/>
  <c r="K19" i="8"/>
  <c r="J19" i="8"/>
  <c r="I19" i="8"/>
  <c r="P18" i="8"/>
  <c r="O18" i="8"/>
  <c r="N18" i="8"/>
  <c r="M18" i="8"/>
  <c r="L18" i="8"/>
  <c r="K18" i="8"/>
  <c r="J18" i="8"/>
  <c r="I18" i="8"/>
  <c r="P17" i="8"/>
  <c r="O17" i="8"/>
  <c r="N17" i="8"/>
  <c r="M17" i="8"/>
  <c r="L17" i="8"/>
  <c r="K17" i="8"/>
  <c r="J17" i="8"/>
  <c r="I17" i="8"/>
  <c r="P16" i="8"/>
  <c r="O16" i="8"/>
  <c r="N16" i="8"/>
  <c r="M16" i="8"/>
  <c r="L16" i="8"/>
  <c r="K16" i="8"/>
  <c r="J16" i="8"/>
  <c r="I16" i="8"/>
  <c r="P15" i="8"/>
  <c r="O15" i="8"/>
  <c r="N15" i="8"/>
  <c r="M15" i="8"/>
  <c r="L15" i="8"/>
  <c r="K15" i="8"/>
  <c r="J15" i="8"/>
  <c r="I15" i="8"/>
  <c r="P14" i="8"/>
  <c r="O14" i="8"/>
  <c r="N14" i="8"/>
  <c r="M14" i="8"/>
  <c r="L14" i="8"/>
  <c r="K14" i="8"/>
  <c r="J14" i="8"/>
  <c r="I14" i="8"/>
  <c r="P13" i="8"/>
  <c r="O13" i="8"/>
  <c r="N13" i="8"/>
  <c r="M13" i="8"/>
  <c r="L13" i="8"/>
  <c r="K13" i="8"/>
  <c r="J13" i="8"/>
  <c r="I13" i="8"/>
  <c r="P12" i="8"/>
  <c r="O12" i="8"/>
  <c r="N12" i="8"/>
  <c r="M12" i="8"/>
  <c r="L12" i="8"/>
  <c r="K12" i="8"/>
  <c r="J12" i="8"/>
  <c r="I12" i="8"/>
  <c r="P11" i="8"/>
  <c r="O11" i="8"/>
  <c r="N11" i="8"/>
  <c r="M11" i="8"/>
  <c r="L11" i="8"/>
  <c r="K11" i="8"/>
  <c r="J11" i="8"/>
  <c r="I11" i="8"/>
  <c r="P10" i="8"/>
  <c r="O10" i="8"/>
  <c r="N10" i="8"/>
  <c r="M10" i="8"/>
  <c r="L10" i="8"/>
  <c r="K10" i="8"/>
  <c r="J10" i="8"/>
  <c r="I10" i="8"/>
  <c r="P9" i="8"/>
  <c r="O9" i="8"/>
  <c r="N9" i="8"/>
  <c r="M9" i="8"/>
  <c r="L9" i="8"/>
  <c r="K9" i="8"/>
  <c r="J9" i="8"/>
  <c r="I9" i="8"/>
  <c r="P8" i="8"/>
  <c r="O8" i="8"/>
  <c r="N8" i="8"/>
  <c r="M8" i="8"/>
  <c r="L8" i="8"/>
  <c r="K8" i="8"/>
  <c r="J8" i="8"/>
  <c r="I8" i="8"/>
  <c r="P7" i="8"/>
  <c r="O7" i="8"/>
  <c r="N7" i="8"/>
  <c r="M7" i="8"/>
  <c r="L7" i="8"/>
  <c r="K7" i="8"/>
  <c r="J7" i="8"/>
  <c r="I7" i="8"/>
  <c r="P6" i="8"/>
  <c r="O6" i="8"/>
  <c r="N6" i="8"/>
  <c r="M6" i="8"/>
  <c r="L6" i="8"/>
  <c r="K6" i="8"/>
  <c r="J6" i="8"/>
  <c r="I6" i="8"/>
  <c r="P5" i="8"/>
  <c r="O5" i="8"/>
  <c r="N5" i="8"/>
  <c r="M5" i="8"/>
  <c r="L5" i="8"/>
  <c r="K5" i="8"/>
  <c r="J5" i="8"/>
  <c r="I5" i="8"/>
  <c r="P4" i="8"/>
  <c r="O4" i="8"/>
  <c r="N4" i="8"/>
  <c r="M4" i="8"/>
  <c r="L4" i="8"/>
  <c r="K4" i="8"/>
  <c r="J4" i="8"/>
  <c r="I4" i="8"/>
  <c r="P3" i="8"/>
  <c r="O3" i="8"/>
  <c r="N3" i="8"/>
  <c r="M3" i="8"/>
  <c r="L3" i="8"/>
  <c r="K3" i="8"/>
  <c r="J3" i="8"/>
  <c r="I3" i="8"/>
  <c r="J15" i="5"/>
  <c r="J4" i="5"/>
  <c r="J5" i="5"/>
  <c r="J6" i="5"/>
  <c r="J7" i="5"/>
  <c r="J8" i="5"/>
  <c r="J9" i="5"/>
  <c r="J10" i="5"/>
  <c r="J11" i="5"/>
  <c r="J12" i="5"/>
  <c r="J13" i="5"/>
  <c r="J14" i="5"/>
  <c r="J16" i="5"/>
  <c r="J17" i="5"/>
  <c r="J18" i="5"/>
  <c r="J19" i="5"/>
  <c r="J20" i="5"/>
  <c r="J21" i="5"/>
  <c r="J22" i="5"/>
  <c r="J23" i="5"/>
  <c r="J24" i="5"/>
  <c r="J25" i="5"/>
  <c r="J3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J3" i="4"/>
  <c r="G3" i="4"/>
  <c r="J4" i="4" s="1"/>
  <c r="G25" i="4"/>
  <c r="G24" i="4"/>
  <c r="J25" i="4" s="1"/>
  <c r="G23" i="4"/>
  <c r="J24" i="4" s="1"/>
  <c r="G22" i="4"/>
  <c r="J23" i="4" s="1"/>
  <c r="G21" i="4"/>
  <c r="J22" i="4" s="1"/>
  <c r="G20" i="4"/>
  <c r="J21" i="4" s="1"/>
  <c r="G19" i="4"/>
  <c r="J20" i="4" s="1"/>
  <c r="G18" i="4"/>
  <c r="J19" i="4" s="1"/>
  <c r="G17" i="4"/>
  <c r="J18" i="4" s="1"/>
  <c r="G16" i="4"/>
  <c r="J17" i="4" s="1"/>
  <c r="G15" i="4"/>
  <c r="J16" i="4" s="1"/>
  <c r="G14" i="4"/>
  <c r="J15" i="4" s="1"/>
  <c r="G13" i="4"/>
  <c r="J14" i="4" s="1"/>
  <c r="G12" i="4"/>
  <c r="J13" i="4" s="1"/>
  <c r="G11" i="4"/>
  <c r="J12" i="4" s="1"/>
  <c r="G10" i="4"/>
  <c r="J11" i="4" s="1"/>
  <c r="G9" i="4"/>
  <c r="J10" i="4" s="1"/>
  <c r="G8" i="4"/>
  <c r="J9" i="4" s="1"/>
  <c r="G7" i="4"/>
  <c r="J8" i="4" s="1"/>
  <c r="G6" i="4"/>
  <c r="J7" i="4" s="1"/>
  <c r="G5" i="4"/>
  <c r="J6" i="4" s="1"/>
  <c r="G4" i="4"/>
  <c r="J5" i="4" s="1"/>
  <c r="I4" i="4"/>
  <c r="I3" i="4"/>
  <c r="H3" i="4"/>
  <c r="I17" i="7" l="1"/>
  <c r="I18" i="7" s="1"/>
  <c r="I19" i="7" s="1"/>
  <c r="I20" i="7" s="1"/>
  <c r="I21" i="7" s="1"/>
  <c r="I22" i="7" s="1"/>
  <c r="I23" i="7" s="1"/>
  <c r="I24" i="7" s="1"/>
  <c r="I25" i="7" s="1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AE03B313-709C-F442-ADF5-BA95BCD85C62}" keepAlive="1" name="Query - 2020-01-01" description="Connessione alla query '2020-01-01' nella cartella di lavoro." type="5" refreshedVersion="8" background="1" saveData="1">
    <dbPr connection="Provider=Microsoft.Mashup.OleDb.1;Data Source=$Workbook$;Location=2020-01-01;Extended Properties=&quot;&quot;" command="SELECT * FROM [2020-01-01]"/>
  </connection>
  <connection id="2" xr16:uid="{E3ED8AA9-48B8-5C4C-AEE1-42C54BEFDE9C}" keepAlive="1" name="Query - 2020-01-01 (2)" description="Connessione alla query '2020-01-01 (2)' nella cartella di lavoro." type="5" refreshedVersion="8" background="1" saveData="1">
    <dbPr connection="Provider=Microsoft.Mashup.OleDb.1;Data Source=$Workbook$;Location=&quot;2020-01-01 (2)&quot;;Extended Properties=&quot;&quot;" command="SELECT * FROM [2020-01-01 (2)]"/>
  </connection>
  <connection id="3" xr16:uid="{1C7CDEE6-61F2-3840-816F-51B1B179564C}" keepAlive="1" name="Query - 2020-01-01 (3)" description="Connessione alla query '2020-01-01 (3)' nella cartella di lavoro." type="5" refreshedVersion="8" background="1" saveData="1">
    <dbPr connection="Provider=Microsoft.Mashup.OleDb.1;Data Source=$Workbook$;Location=&quot;2020-01-01 (3)&quot;;Extended Properties=&quot;&quot;" command="SELECT * FROM [2020-01-01 (3)]"/>
  </connection>
  <connection id="4" xr16:uid="{7ED65F4D-5DB1-7748-BB6F-13AB4DEF172A}" keepAlive="1" name="Query - 2020-01-01 (4)" description="Connessione alla query '2020-01-01 (4)' nella cartella di lavoro." type="5" refreshedVersion="8" background="1" saveData="1">
    <dbPr connection="Provider=Microsoft.Mashup.OleDb.1;Data Source=$Workbook$;Location=&quot;2020-01-01 (4)&quot;;Extended Properties=&quot;&quot;" command="SELECT * FROM [2020-01-01 (4)]"/>
  </connection>
  <connection id="5" xr16:uid="{0BC8FEB3-C34D-1445-A0C8-C6B04315E9AF}" keepAlive="1" name="Query - 2020-01-01 (5)" description="Connessione alla query '2020-01-01 (5)' nella cartella di lavoro." type="5" refreshedVersion="8" background="1" saveData="1">
    <dbPr connection="Provider=Microsoft.Mashup.OleDb.1;Data Source=$Workbook$;Location=&quot;2020-01-01 (5)&quot;;Extended Properties=&quot;&quot;" command="SELECT * FROM [2020-01-01 (5)]"/>
  </connection>
  <connection id="6" xr16:uid="{2D320736-1324-D446-9A47-F740DE2158AB}" keepAlive="1" name="Query - H1" description="Connessione alla query 'H1' nella cartella di lavoro." type="5" refreshedVersion="8" background="1" saveData="1">
    <dbPr connection="Provider=Microsoft.Mashup.OleDb.1;Data Source=$Workbook$;Location=H1;Extended Properties=&quot;&quot;" command="SELECT * FROM [H1]"/>
  </connection>
  <connection id="7" xr16:uid="{722EA208-43EF-F041-AB17-BAAA2470D152}" keepAlive="1" name="Query - H1 (2)" description="Connessione alla query 'H1 (2)' nella cartella di lavoro." type="5" refreshedVersion="8" background="1" saveData="1">
    <dbPr connection="Provider=Microsoft.Mashup.OleDb.1;Data Source=$Workbook$;Location=&quot;H1 (2)&quot;;Extended Properties=&quot;&quot;" command="SELECT * FROM [H1 (2)]"/>
  </connection>
  <connection id="8" xr16:uid="{7413DA2F-95EF-BB4A-B8FE-FA4A8952E849}" keepAlive="1" name="Query - H1_15min_Wh" description="Connessione alla query 'H1_15min_Wh' nella cartella di lavoro." type="5" refreshedVersion="8" background="1" saveData="1">
    <dbPr connection="Provider=Microsoft.Mashup.OleDb.1;Data Source=$Workbook$;Location=H1_15min_Wh;Extended Properties=&quot;&quot;" command="SELECT * FROM [H1_15min_Wh]"/>
  </connection>
  <connection id="9" xr16:uid="{F2EEFEE7-EAAE-A240-982C-7EEBB641C5CD}" keepAlive="1" name="Query - H1_Wh" description="Connessione alla query 'H1_Wh' nella cartella di lavoro." type="5" refreshedVersion="8" background="1" saveData="1">
    <dbPr connection="Provider=Microsoft.Mashup.OleDb.1;Data Source=$Workbook$;Location=H1_Wh;Extended Properties=&quot;&quot;" command="SELECT * FROM [H1_Wh]"/>
  </connection>
  <connection id="10" xr16:uid="{9AED846D-D84D-1149-B2D0-C37C62ED8FD2}" keepAlive="1" name="Query - H1_Wh (2)" description="Connessione alla query 'H1_Wh (2)' nella cartella di lavoro." type="5" refreshedVersion="8" background="1" saveData="1">
    <dbPr connection="Provider=Microsoft.Mashup.OleDb.1;Data Source=$Workbook$;Location=&quot;H1_Wh (2)&quot;;Extended Properties=&quot;&quot;" command="SELECT * FROM [H1_Wh (2)]"/>
  </connection>
  <connection id="11" xr16:uid="{1D04B5F0-4C1F-154D-8182-5956F9E503A0}" keepAlive="1" name="Query - H1_Wh_limit" description="Connessione alla query 'H1_Wh_limit' nella cartella di lavoro." type="5" refreshedVersion="8" background="1" saveData="1">
    <dbPr connection="Provider=Microsoft.Mashup.OleDb.1;Data Source=$Workbook$;Location=H1_Wh_limit;Extended Properties=&quot;&quot;" command="SELECT * FROM [H1_Wh_limit]"/>
  </connection>
</connections>
</file>

<file path=xl/sharedStrings.xml><?xml version="1.0" encoding="utf-8"?>
<sst xmlns="http://purl.oclc.org/ooxml/spreadsheetml/main" count="2020" uniqueCount="309">
  <si>
    <t>Column1</t>
  </si>
  <si>
    <t>Column2</t>
  </si>
  <si>
    <t>Column3</t>
  </si>
  <si>
    <t>Column4</t>
  </si>
  <si>
    <t>Column5</t>
  </si>
  <si>
    <t>date</t>
  </si>
  <si>
    <t>Discharge(W)</t>
  </si>
  <si>
    <t>Charge(W)</t>
  </si>
  <si>
    <t>Production(W)</t>
  </si>
  <si>
    <t>Consumption(W)</t>
  </si>
  <si>
    <t>0.0</t>
  </si>
  <si>
    <t>0.4</t>
  </si>
  <si>
    <t>2020-01-01 1:00:00</t>
  </si>
  <si>
    <t>2020-01-01 2:00:00</t>
  </si>
  <si>
    <t>2020-01-01 3:00:00</t>
  </si>
  <si>
    <t>2020-01-01 4:00:00</t>
  </si>
  <si>
    <t>2020-01-01 5:00:00</t>
  </si>
  <si>
    <t>2020-01-01 6:00:00</t>
  </si>
  <si>
    <t>2020-01-01 7:00:00</t>
  </si>
  <si>
    <t>2020-01-01 8:00:00</t>
  </si>
  <si>
    <t>2020-01-01 9:00:00</t>
  </si>
  <si>
    <t>2020-01-01 10:00:00</t>
  </si>
  <si>
    <t>2020-01-01 11:00:00</t>
  </si>
  <si>
    <t>2020-01-01 12:00:00</t>
  </si>
  <si>
    <t>2020-01-01 13:00:00</t>
  </si>
  <si>
    <t>2020-01-01 14:00:00</t>
  </si>
  <si>
    <t>0.1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</si>
  <si>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</si>
  <si>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</si>
  <si>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</si>
  <si>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</si>
  <si>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</si>
  <si>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</si>
  <si>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</si>
  <si>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</si>
  <si>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</si>
  <si>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vP_S</t>
  </si>
  <si>
    <t>Limite</t>
  </si>
  <si>
    <t>Stato Carica</t>
  </si>
  <si>
    <t>Limite OK?</t>
  </si>
  <si>
    <t>0.3</t>
  </si>
  <si>
    <t>0.2</t>
  </si>
  <si>
    <t>Column6</t>
  </si>
  <si>
    <t>Column7</t>
  </si>
  <si>
    <t>Feed-in(W)</t>
  </si>
  <si>
    <t>From grid(W)</t>
  </si>
  <si>
    <t>0.7</t>
  </si>
  <si>
    <t>1.4</t>
  </si>
  <si>
    <t>0.5</t>
  </si>
  <si>
    <t>1.1</t>
  </si>
  <si>
    <t>0.9</t>
  </si>
  <si>
    <t>0.8</t>
  </si>
  <si>
    <t>1.5</t>
  </si>
  <si>
    <t>1.6</t>
  </si>
  <si>
    <t>1.3</t>
  </si>
  <si>
    <t>1.2</t>
  </si>
  <si>
    <t>0.6</t>
  </si>
  <si>
    <t>1.0</t>
  </si>
  <si>
    <t>1.9</t>
  </si>
  <si>
    <t>4.7</t>
  </si>
  <si>
    <t>5.9</t>
  </si>
  <si>
    <t>3.4</t>
  </si>
  <si>
    <t>11.1</t>
  </si>
  <si>
    <t>2.2</t>
  </si>
  <si>
    <t>13.6</t>
  </si>
  <si>
    <t>12.3</t>
  </si>
  <si>
    <t>4.6</t>
  </si>
  <si>
    <t>1.8</t>
  </si>
  <si>
    <t>3.6</t>
  </si>
  <si>
    <t>8.5</t>
  </si>
  <si>
    <t>15.1</t>
  </si>
  <si>
    <t>13.8</t>
  </si>
  <si>
    <t>12.5</t>
  </si>
  <si>
    <t>State of charge</t>
  </si>
  <si>
    <t>2020-01-01 1:15:00</t>
  </si>
  <si>
    <t>1.7</t>
  </si>
  <si>
    <t>2020-01-01 1:30:00</t>
  </si>
  <si>
    <t>2020-01-01 1:45:00</t>
  </si>
  <si>
    <t>2.3</t>
  </si>
  <si>
    <t>2.5</t>
  </si>
  <si>
    <t>2020-01-01 2:0:00</t>
  </si>
  <si>
    <t>2020-01-01 2:15:00</t>
  </si>
  <si>
    <t>2020-01-01 2:30:00</t>
  </si>
  <si>
    <t>2020-01-01 2:45:00</t>
  </si>
  <si>
    <t>2020-01-01 3:0:00</t>
  </si>
  <si>
    <t>2020-01-01 3:15:00</t>
  </si>
  <si>
    <t>2.4</t>
  </si>
  <si>
    <t>2020-01-01 3:30:00</t>
  </si>
  <si>
    <t>2.0</t>
  </si>
  <si>
    <t>2020-01-01 3:45:00</t>
  </si>
  <si>
    <t>2020-01-01 4:0:00</t>
  </si>
  <si>
    <t>2020-01-01 4:15:00</t>
  </si>
  <si>
    <t>2020-01-01 4:30:00</t>
  </si>
  <si>
    <t>2020-01-01 4:45:00</t>
  </si>
  <si>
    <t>2020-01-01 5:0:00</t>
  </si>
  <si>
    <t>2020-01-01 5:15:00</t>
  </si>
  <si>
    <t>2020-01-01 5:30:00</t>
  </si>
  <si>
    <t>2020-01-01 5:45:00</t>
  </si>
  <si>
    <t>2020-01-01 6:0:00</t>
  </si>
  <si>
    <t>2020-01-01 6:15:00</t>
  </si>
  <si>
    <t>2020-01-01 6:30:00</t>
  </si>
  <si>
    <t>2020-01-01 6:45:00</t>
  </si>
  <si>
    <t>2.1</t>
  </si>
  <si>
    <t>2020-01-01 7:0:00</t>
  </si>
  <si>
    <t>2020-01-01 7:15:00</t>
  </si>
  <si>
    <t>2020-01-01 7:30:00</t>
  </si>
  <si>
    <t>2020-01-01 7:45:00</t>
  </si>
  <si>
    <t>2020-01-01 8:0:00</t>
  </si>
  <si>
    <t>2020-01-01 8:15:00</t>
  </si>
  <si>
    <t>2020-01-01 8:30:00</t>
  </si>
  <si>
    <t>2020-01-01 8:45:00</t>
  </si>
  <si>
    <t>2020-01-01 9:0:00</t>
  </si>
  <si>
    <t>2020-01-01 9:15:00</t>
  </si>
  <si>
    <t>2020-01-01 9:30:00</t>
  </si>
  <si>
    <t>2020-01-01 9:45:00</t>
  </si>
  <si>
    <t>2020-01-01 10:0:00</t>
  </si>
  <si>
    <t>2020-01-01 10:15:00</t>
  </si>
  <si>
    <t>2020-01-01 10:30:00</t>
  </si>
  <si>
    <t>12.2</t>
  </si>
  <si>
    <t>11.6</t>
  </si>
  <si>
    <t>2020-01-01 10:45:00</t>
  </si>
  <si>
    <t>3.0</t>
  </si>
  <si>
    <t>2020-01-01 11:0:00</t>
  </si>
  <si>
    <t>2020-01-01 11:15:00</t>
  </si>
  <si>
    <t>2.7</t>
  </si>
  <si>
    <t>3.2</t>
  </si>
  <si>
    <t>9.3</t>
  </si>
  <si>
    <t>8.8</t>
  </si>
  <si>
    <t>2020-01-01 11:30:00</t>
  </si>
  <si>
    <t>2020-01-01 11:45:00</t>
  </si>
  <si>
    <t>8.3</t>
  </si>
  <si>
    <t>9.4</t>
  </si>
  <si>
    <t>2020-01-01 12:0:00</t>
  </si>
  <si>
    <t>2020-01-01 12:15:00</t>
  </si>
  <si>
    <t>10.2</t>
  </si>
  <si>
    <t>10.3</t>
  </si>
  <si>
    <t>2020-01-01 12:30:00</t>
  </si>
  <si>
    <t>2020-01-01 12:45:00</t>
  </si>
  <si>
    <t>11.3</t>
  </si>
  <si>
    <t>11.4</t>
  </si>
  <si>
    <t>2020-01-01 13:0:00</t>
  </si>
  <si>
    <t>12.7</t>
  </si>
  <si>
    <t>12.8</t>
  </si>
  <si>
    <t>2020-01-01 13:15:00</t>
  </si>
  <si>
    <t>11.7</t>
  </si>
  <si>
    <t>23.4</t>
  </si>
  <si>
    <t>2020-01-01 13:30:00</t>
  </si>
  <si>
    <t>23.7</t>
  </si>
  <si>
    <t>58.0</t>
  </si>
  <si>
    <t>29.9</t>
  </si>
  <si>
    <t>2020-01-01 13:45:00</t>
  </si>
  <si>
    <t>6.8</t>
  </si>
  <si>
    <t>10.5</t>
  </si>
  <si>
    <t>2020-01-01 14:0:00</t>
  </si>
  <si>
    <t>3.1</t>
  </si>
  <si>
    <t>3.8</t>
  </si>
  <si>
    <t>2.8</t>
  </si>
  <si>
    <t>2020-01-01 14:15:00</t>
  </si>
  <si>
    <t>2.9</t>
  </si>
  <si>
    <t>2020-01-01 14:30:00</t>
  </si>
  <si>
    <t>2020-01-01 14:45:00</t>
  </si>
  <si>
    <t>2020-01-01 15:0:00</t>
  </si>
  <si>
    <t>2020-01-01 15:15:00</t>
  </si>
  <si>
    <t>2020-01-01 15:30:00</t>
  </si>
  <si>
    <t>2020-01-01 15:45:00</t>
  </si>
  <si>
    <t>2020-01-01 16:0:00</t>
  </si>
  <si>
    <t>2020-01-01 16:15:00</t>
  </si>
  <si>
    <t>2020-01-01 16:30:00</t>
  </si>
  <si>
    <t>2020-01-01 16:45:00</t>
  </si>
  <si>
    <t>17.1</t>
  </si>
  <si>
    <t>17.3</t>
  </si>
  <si>
    <t>2020-01-01 17:0:00</t>
  </si>
  <si>
    <t>16.3</t>
  </si>
  <si>
    <t>16.4</t>
  </si>
  <si>
    <t>2020-01-01 17:15:00</t>
  </si>
  <si>
    <t>12.0</t>
  </si>
  <si>
    <t>12.1</t>
  </si>
  <si>
    <t>2020-01-01 17:30:00</t>
  </si>
  <si>
    <t>12.9</t>
  </si>
  <si>
    <t>13.0</t>
  </si>
  <si>
    <t>2020-01-01 17:45:00</t>
  </si>
  <si>
    <t>13.4</t>
  </si>
  <si>
    <t>2020-01-01 18:0:00</t>
  </si>
  <si>
    <t>36.5</t>
  </si>
  <si>
    <t>36.6</t>
  </si>
  <si>
    <t>2020-01-01 18:15:00</t>
  </si>
  <si>
    <t>28.7</t>
  </si>
  <si>
    <t>28.8</t>
  </si>
  <si>
    <t>2020-01-01 18:30:00</t>
  </si>
  <si>
    <t>24.5</t>
  </si>
  <si>
    <t>24.6</t>
  </si>
  <si>
    <t>2020-01-01 18:45:00</t>
  </si>
  <si>
    <t>22.3</t>
  </si>
  <si>
    <t>22.5</t>
  </si>
  <si>
    <t>2020-01-01 19:0:00</t>
  </si>
  <si>
    <t>13.7</t>
  </si>
  <si>
    <t>2020-01-01 19:15:00</t>
  </si>
  <si>
    <t>13.2</t>
  </si>
  <si>
    <t>13.3</t>
  </si>
  <si>
    <t>2020-01-01 19:30:00</t>
  </si>
  <si>
    <t>2020-01-01 19:45:00</t>
  </si>
  <si>
    <t>18.9</t>
  </si>
  <si>
    <t>19.0</t>
  </si>
  <si>
    <t>2020-01-01 20:0:00</t>
  </si>
  <si>
    <t>15.2</t>
  </si>
  <si>
    <t>2020-01-01 20:15:00</t>
  </si>
  <si>
    <t>2020-01-01 20:30:00</t>
  </si>
  <si>
    <t>13.1</t>
  </si>
  <si>
    <t>2020-01-01 20:45:00</t>
  </si>
  <si>
    <t>12.6</t>
  </si>
  <si>
    <t>2020-01-01 21:0:00</t>
  </si>
  <si>
    <t>2020-01-01 21:15:00</t>
  </si>
  <si>
    <t>2020-01-01 21:30:00</t>
  </si>
  <si>
    <t>13.9</t>
  </si>
  <si>
    <t>14.1</t>
  </si>
  <si>
    <t>2020-01-01 21:45:00</t>
  </si>
  <si>
    <t>2020-01-01 22:0:00</t>
  </si>
  <si>
    <t>8.7</t>
  </si>
  <si>
    <t>2020-01-01 22:15:00</t>
  </si>
  <si>
    <t>3.9</t>
  </si>
  <si>
    <t>4.1</t>
  </si>
  <si>
    <t>2020-01-01 22:30:00</t>
  </si>
  <si>
    <t>2020-01-01 22:45:00</t>
  </si>
  <si>
    <t>4.9</t>
  </si>
  <si>
    <t>5.0</t>
  </si>
  <si>
    <t>2020-01-01 23:0:00</t>
  </si>
  <si>
    <t>5.8</t>
  </si>
  <si>
    <t>2020-01-01 23:15:00</t>
  </si>
  <si>
    <t>2020-01-01 23:30:00</t>
  </si>
  <si>
    <t>2020-01-01 23:45:00</t>
  </si>
  <si>
    <t>6.4</t>
  </si>
  <si>
    <t>6.5</t>
  </si>
  <si>
    <t>2020-01-01 24:0:00</t>
  </si>
  <si>
    <t>4.0</t>
  </si>
  <si>
    <t>Compra</t>
  </si>
  <si>
    <t>7.8</t>
  </si>
  <si>
    <t>State of charge min:</t>
  </si>
  <si>
    <t>State of charge max:</t>
  </si>
  <si>
    <t>Discharge min:</t>
  </si>
  <si>
    <t>Discharge max:</t>
  </si>
  <si>
    <t>10.4</t>
  </si>
  <si>
    <t>6.1</t>
  </si>
  <si>
    <t>9.8</t>
  </si>
  <si>
    <t>10.8</t>
  </si>
  <si>
    <t>53.4</t>
  </si>
  <si>
    <t>6.9</t>
  </si>
  <si>
    <t>2020-01-01 24:00:00</t>
  </si>
  <si>
    <t>Discharge(KW)</t>
  </si>
  <si>
    <t>Charge(KW)</t>
  </si>
  <si>
    <t>Production(KW)</t>
  </si>
  <si>
    <t>Consumption(KW)</t>
  </si>
  <si>
    <t>Feed-in(KW)</t>
  </si>
  <si>
    <t>From grid(KW)</t>
  </si>
  <si>
    <t>0.01</t>
  </si>
  <si>
    <t>0.04</t>
  </si>
  <si>
    <t>0.05</t>
  </si>
  <si>
    <t>0.08</t>
  </si>
  <si>
    <t>0.09</t>
  </si>
  <si>
    <t>0.07</t>
  </si>
  <si>
    <t>0.02</t>
  </si>
  <si>
    <t>0.06</t>
  </si>
  <si>
    <t>0.11</t>
  </si>
  <si>
    <t>0.28</t>
  </si>
  <si>
    <t>0.22</t>
  </si>
  <si>
    <t>0.35</t>
  </si>
  <si>
    <t>0.16</t>
  </si>
  <si>
    <t>0.66</t>
  </si>
  <si>
    <t>0.67</t>
  </si>
  <si>
    <t>0.03</t>
  </si>
  <si>
    <t>0.36</t>
  </si>
  <si>
    <t>1.44</t>
  </si>
  <si>
    <t>0.51</t>
  </si>
  <si>
    <t>0.13</t>
  </si>
  <si>
    <t>0.52</t>
  </si>
  <si>
    <t>1.07</t>
  </si>
  <si>
    <t>1.08</t>
  </si>
  <si>
    <t>1.39</t>
  </si>
  <si>
    <t>0.82</t>
  </si>
  <si>
    <t>0.83</t>
  </si>
  <si>
    <t>0.74</t>
  </si>
  <si>
    <t>0.75</t>
  </si>
  <si>
    <t>0.31</t>
  </si>
  <si>
    <t>0.32</t>
  </si>
  <si>
    <t>0.17</t>
  </si>
  <si>
    <t>0.64</t>
  </si>
  <si>
    <t>2020-02-02 0:00:00</t>
  </si>
  <si>
    <t>2020-02-02 1:00:00</t>
  </si>
  <si>
    <t>2020-02-02 2:00:00</t>
  </si>
  <si>
    <t>2020-02-02 3:00:00</t>
  </si>
  <si>
    <t>2020-02-02 4:00:00</t>
  </si>
  <si>
    <t>2020-02-02 5:00:00</t>
  </si>
  <si>
    <t>2020-02-02 6:00:00</t>
  </si>
  <si>
    <t>2020-02-02 7:00:00</t>
  </si>
  <si>
    <t>2020-02-02 8:00:00</t>
  </si>
  <si>
    <t>2020-02-02 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</si>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</sst>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DAF2D0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rgb="FF8ED973"/>
      </top>
      <bottom style="thin">
        <color rgb="FF8ED97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19" fillId="33" borderId="10" xfId="0" applyFont="1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connections" Target="connections.xml"/><Relationship Id="rId4" Type="http://purl.oclc.org/ooxml/officeDocument/relationships/worksheet" Target="worksheets/sheet4.xml"/><Relationship Id="rId9" Type="http://purl.oclc.org/ooxml/officeDocument/relationships/theme" Target="theme/theme1.xml"/><Relationship Id="rId14" Type="http://purl.oclc.org/ooxml/officeDocument/relationships/customXml" Target="../customXml/item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2" connectionId="7" xr16:uid="{30CD8529-D456-454A-8CC4-0B717037E03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1" connectionId="6" xr16:uid="{DB256857-868C-D946-BB52-3FEDFE484B0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1" connectionId="3" xr16:uid="{7D29EDC1-B131-334D-A7FE-2AB12EA1AC5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1" connectionId="9" xr16:uid="{42305CC5-97FC-7D44-9007-E5D9724118B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2" connectionId="11" xr16:uid="{40080FF7-C06D-5942-B461-8809408E43D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6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2" connectionId="5" xr16:uid="{035E36B2-1297-9849-ABDB-51F9CC227B8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7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3" connectionId="8" xr16:uid="{D5B47B7D-8C1B-7B4E-B0DE-B636C909D41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7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0F8EDF48-803B-FD4E-9A71-3FEA20EF75F8}" name="H1__2" displayName="H1__2" ref="A1:G25" tableType="queryTable" totalsRowShown="0">
  <autoFilter ref="A1:G25" xr:uid="{0F8EDF48-803B-FD4E-9A71-3FEA20EF75F8}"/>
  <tableColumns count="7">
    <tableColumn id="1" xr3:uid="{3B5A6F1A-0B5F-EE46-B971-5DEE31FEB45A}" uniqueName="1" name="Column1" queryTableFieldId="1" dataDxfId="39"/>
    <tableColumn id="2" xr3:uid="{F347CF9E-E239-3440-B12A-556809BBEE39}" uniqueName="2" name="Column2" queryTableFieldId="2" dataDxfId="38"/>
    <tableColumn id="3" xr3:uid="{75FC7C32-0562-7B46-BF07-4A2DD6D6EA2D}" uniqueName="3" name="Column3" queryTableFieldId="3" dataDxfId="37"/>
    <tableColumn id="4" xr3:uid="{D52BD0DC-C677-7747-BB87-C4202F368A2E}" uniqueName="4" name="Column4" queryTableFieldId="4" dataDxfId="36"/>
    <tableColumn id="5" xr3:uid="{184664B6-5EF2-2645-989E-E3E362447B1E}" uniqueName="5" name="Column5" queryTableFieldId="5" dataDxfId="35"/>
    <tableColumn id="6" xr3:uid="{A010754E-F107-1344-BD7D-E47A794F58DD}" uniqueName="6" name="Column6" queryTableFieldId="6" dataDxfId="34"/>
    <tableColumn id="7" xr3:uid="{EAD7CC06-9036-954A-940C-15612AA7B4E2}" uniqueName="7" name="Column7" queryTableFieldId="7" dataDxfId="33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20647C16-AC71-3E45-8F21-006DC4FCBC47}" name="H1_" displayName="H1_" ref="A1:E25" tableType="queryTable" totalsRowShown="0">
  <autoFilter ref="A1:E25" xr:uid="{20647C16-AC71-3E45-8F21-006DC4FCBC47}"/>
  <tableColumns count="5">
    <tableColumn id="1" xr3:uid="{F98FF783-09D0-BC41-BAF3-4A239D91D2A0}" uniqueName="1" name="Column1" queryTableFieldId="1" dataDxfId="32"/>
    <tableColumn id="2" xr3:uid="{41A93B48-675E-3A43-B293-5AF95D51ED0F}" uniqueName="2" name="Column2" queryTableFieldId="2" dataDxfId="31"/>
    <tableColumn id="3" xr3:uid="{6887AC04-0438-FC40-9789-0DE5B61A0263}" uniqueName="3" name="Column3" queryTableFieldId="3" dataDxfId="30"/>
    <tableColumn id="4" xr3:uid="{1A6E6D5E-E056-0744-9C2D-5CFC2D5C3B20}" uniqueName="4" name="Column4" queryTableFieldId="4" dataDxfId="29"/>
    <tableColumn id="5" xr3:uid="{F8BB531E-410A-FD47-8DC1-4651D0908B71}" uniqueName="5" name="Column5" queryTableFieldId="5" dataDxfId="28"/>
  </tableColumns>
  <tableStyleInfo name="TableStyleMedium7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A87B1547-E67D-484C-B0F5-2B59C8E295A2}" name="_2020_01_01__3" displayName="_2020_01_01__3" ref="A1:G25" tableType="queryTable" totalsRowShown="0">
  <autoFilter ref="A1:G25" xr:uid="{A87B1547-E67D-484C-B0F5-2B59C8E295A2}"/>
  <tableColumns count="7">
    <tableColumn id="1" xr3:uid="{BFC2B19A-FF06-DC4B-9187-CBCD914B1BA8}" uniqueName="1" name="Column1" queryTableFieldId="1" dataDxfId="27"/>
    <tableColumn id="2" xr3:uid="{8D6C502A-661D-1A44-A03E-8BEFB7E28163}" uniqueName="2" name="Column2" queryTableFieldId="2" dataDxfId="26"/>
    <tableColumn id="3" xr3:uid="{979AE7B2-CFF0-5B48-AB37-A9626F0ACEC9}" uniqueName="3" name="Column3" queryTableFieldId="3" dataDxfId="25"/>
    <tableColumn id="4" xr3:uid="{11B8F65C-2C26-984B-B1E3-535805F3380F}" uniqueName="4" name="Column4" queryTableFieldId="4" dataDxfId="24"/>
    <tableColumn id="5" xr3:uid="{0ED1EE10-7DB9-0B40-8FAE-7F98B1E47FBA}" uniqueName="5" name="Column5" queryTableFieldId="5" dataDxfId="23"/>
    <tableColumn id="6" xr3:uid="{174FE8A2-CE26-0A4B-88FC-51CBDF3A5679}" uniqueName="6" name="Column6" queryTableFieldId="6" dataDxfId="22"/>
    <tableColumn id="7" xr3:uid="{E544AF54-5523-464C-8C31-8CEFE0861C34}" uniqueName="7" name="Column7" queryTableFieldId="7" dataDxfId="21"/>
  </tableColumns>
  <tableStyleInfo name="TableStyleMedium7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72D70C3F-A5BA-2F4E-BE06-E39E835A902C}" name="H1_Wh" displayName="H1_Wh" ref="A1:G25" tableType="queryTable" totalsRowShown="0">
  <autoFilter ref="A1:G25" xr:uid="{72D70C3F-A5BA-2F4E-BE06-E39E835A902C}"/>
  <tableColumns count="7">
    <tableColumn id="1" xr3:uid="{4D4B42BB-5C46-514C-B33D-CB3CAE1C2F18}" uniqueName="1" name="Column1" queryTableFieldId="1"/>
    <tableColumn id="2" xr3:uid="{2B4CD73E-48C4-E247-866F-4F1F78855077}" uniqueName="2" name="Column2" queryTableFieldId="2"/>
    <tableColumn id="3" xr3:uid="{747B97DB-14D7-9E4D-8C95-5EE15B31EEFD}" uniqueName="3" name="Column3" queryTableFieldId="3"/>
    <tableColumn id="4" xr3:uid="{C24BA74A-0F94-CD48-BB2B-C1CB45FF8F80}" uniqueName="4" name="Column4" queryTableFieldId="4"/>
    <tableColumn id="5" xr3:uid="{A8C7727E-BBA1-ED46-9DE0-EF4C55FB19D7}" uniqueName="5" name="Column5" queryTableFieldId="5"/>
    <tableColumn id="6" xr3:uid="{61690773-E70A-0F4E-B295-91C4EAA997F3}" uniqueName="6" name="Column6" queryTableFieldId="6"/>
    <tableColumn id="7" xr3:uid="{12DBD0E5-AD76-994B-B3C8-A3C29D5FF735}" uniqueName="7" name="Column7" queryTableFieldId="7"/>
  </tableColumns>
  <tableStyleInfo name="TableStyleMedium7"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9" xr:uid="{D641ADEA-9AD7-A04A-BBD6-98521ED9598A}" name="H1_Wh_limit" displayName="H1_Wh_limit" ref="A1:G26" tableType="queryTable" totalsRowShown="0">
  <autoFilter ref="A1:G26" xr:uid="{D641ADEA-9AD7-A04A-BBD6-98521ED9598A}"/>
  <tableColumns count="7">
    <tableColumn id="1" xr3:uid="{814CC553-B6F3-A942-A128-09AD76A375BF}" uniqueName="1" name="Column1" queryTableFieldId="1" dataDxfId="20"/>
    <tableColumn id="2" xr3:uid="{8F08551F-C701-0F48-848C-201735F5BF98}" uniqueName="2" name="Column2" queryTableFieldId="2" dataDxfId="19"/>
    <tableColumn id="3" xr3:uid="{C9A84F88-A0C3-B049-8A7C-1323039B72C5}" uniqueName="3" name="Column3" queryTableFieldId="3" dataDxfId="18"/>
    <tableColumn id="4" xr3:uid="{6E004DAE-E06E-C34C-B198-0BA0AB902B35}" uniqueName="4" name="Column4" queryTableFieldId="4" dataDxfId="17"/>
    <tableColumn id="5" xr3:uid="{40287379-620B-4648-9E38-AA66B30BC335}" uniqueName="5" name="Column5" queryTableFieldId="5" dataDxfId="16"/>
    <tableColumn id="6" xr3:uid="{66AF2D2C-D3A8-AA40-98C3-0AF037C52946}" uniqueName="6" name="Column6" queryTableFieldId="6" dataDxfId="15"/>
    <tableColumn id="7" xr3:uid="{4243D598-6D71-A84F-83D2-380BE944D2D7}" uniqueName="7" name="Column7" queryTableFieldId="7" dataDxfId="14"/>
  </tableColumns>
  <tableStyleInfo name="TableStyleMedium7" showFirstColumn="0" showLastColumn="0" showRowStripes="1" showColumnStripes="0"/>
</table>
</file>

<file path=xl/tables/table6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95B1AAC9-6409-2C49-959B-993E49954425}" name="_2020_01_01__5" displayName="_2020_01_01__5" ref="A1:G94" tableType="queryTable" totalsRowShown="0">
  <autoFilter ref="A1:G94" xr:uid="{95B1AAC9-6409-2C49-959B-993E49954425}"/>
  <tableColumns count="7">
    <tableColumn id="1" xr3:uid="{222875DF-AE14-8A4E-8320-9377B5AE02B6}" uniqueName="1" name="Column1" queryTableFieldId="1" dataDxfId="13"/>
    <tableColumn id="2" xr3:uid="{6A410C1A-E8C6-8542-B688-3E2537022123}" uniqueName="2" name="Column2" queryTableFieldId="2" dataDxfId="12"/>
    <tableColumn id="3" xr3:uid="{27A3FBB6-49C8-6B4E-8EE8-C713E2DF27E2}" uniqueName="3" name="Column3" queryTableFieldId="3" dataDxfId="11"/>
    <tableColumn id="4" xr3:uid="{F54B9E7C-7425-D341-AC55-D1A827EE0BAE}" uniqueName="4" name="Column4" queryTableFieldId="4" dataDxfId="10"/>
    <tableColumn id="5" xr3:uid="{0B49E11A-2D50-EC47-B6CC-CB588A41E3A5}" uniqueName="5" name="Column5" queryTableFieldId="5" dataDxfId="9"/>
    <tableColumn id="6" xr3:uid="{6A4D59E3-AA29-8942-B104-9F45F919B940}" uniqueName="6" name="Column6" queryTableFieldId="6" dataDxfId="8"/>
    <tableColumn id="7" xr3:uid="{B5AE4E96-B13D-0D4A-83C4-41EC306C0ADB}" uniqueName="7" name="Column7" queryTableFieldId="7" dataDxfId="7"/>
  </tableColumns>
  <tableStyleInfo name="TableStyleMedium7" showFirstColumn="0" showLastColumn="0" showRowStripes="1" showColumnStripes="0"/>
</table>
</file>

<file path=xl/tables/table7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8" xr:uid="{2D842208-8F64-3149-B94B-FA7B08873A3E}" name="H1_15min_Wh" displayName="H1_15min_Wh" ref="A1:G94" tableType="queryTable" totalsRowShown="0">
  <autoFilter ref="A1:G94" xr:uid="{2D842208-8F64-3149-B94B-FA7B08873A3E}"/>
  <tableColumns count="7">
    <tableColumn id="1" xr3:uid="{0C6F2420-503C-DF40-86E1-CDC29367BD0D}" uniqueName="1" name="Column1" queryTableFieldId="1" dataDxfId="6"/>
    <tableColumn id="2" xr3:uid="{C2A4A027-8AB8-1C49-8F38-8F8E32F53D46}" uniqueName="2" name="Column2" queryTableFieldId="2" dataDxfId="5"/>
    <tableColumn id="3" xr3:uid="{7FD21816-5A33-AF42-908C-52E9544A332D}" uniqueName="3" name="Column3" queryTableFieldId="3" dataDxfId="4"/>
    <tableColumn id="4" xr3:uid="{33491E61-7E18-EE47-8009-497CA9B5E243}" uniqueName="4" name="Column4" queryTableFieldId="4" dataDxfId="3"/>
    <tableColumn id="5" xr3:uid="{8D03E964-0EC9-B941-B5D1-B95700D70012}" uniqueName="5" name="Column5" queryTableFieldId="5" dataDxfId="2"/>
    <tableColumn id="6" xr3:uid="{1D333402-14E7-BE40-AAC5-689339337847}" uniqueName="6" name="Column6" queryTableFieldId="6" dataDxfId="1"/>
    <tableColumn id="7" xr3:uid="{D447D95E-A5CC-CD45-9EBB-1C85BA065E1A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table" Target="../tables/table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41FE-904A-A640-92D5-D29B3BFC355B}">
  <dimension ref="A1:J25"/>
  <sheetViews>
    <sheetView workbookViewId="0">
      <selection activeCell="I23" sqref="I23"/>
    </sheetView>
  </sheetViews>
  <sheetFormatPr baseColWidth="10" defaultRowHeight="16" x14ac:dyDescent="0.2"/>
  <cols>
    <col min="1" max="1" width="18" bestFit="1" customWidth="1"/>
    <col min="2" max="2" width="12.33203125" bestFit="1" customWidth="1"/>
    <col min="3" max="3" width="11.1640625" bestFit="1" customWidth="1"/>
    <col min="4" max="4" width="13" bestFit="1" customWidth="1"/>
    <col min="5" max="5" width="15" bestFit="1" customWidth="1"/>
    <col min="6" max="6" width="11.1640625" bestFit="1" customWidth="1"/>
    <col min="7" max="7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44</v>
      </c>
      <c r="G2" t="s">
        <v>45</v>
      </c>
      <c r="I2">
        <v>30</v>
      </c>
    </row>
    <row r="3" spans="1:10" x14ac:dyDescent="0.2">
      <c r="A3" t="s">
        <v>12</v>
      </c>
      <c r="B3" t="s">
        <v>52</v>
      </c>
      <c r="C3" t="s">
        <v>10</v>
      </c>
      <c r="D3" t="s">
        <v>10</v>
      </c>
      <c r="E3" t="s">
        <v>26</v>
      </c>
      <c r="F3" t="s">
        <v>10</v>
      </c>
      <c r="G3" t="s">
        <v>10</v>
      </c>
      <c r="I3" t="e">
        <f>I2-B3+C3</f>
        <v>#VALUE!</v>
      </c>
      <c r="J3" t="e">
        <f>H1__2[[#This Row],[Column2]]+H1__2[[#This Row],[Column7]]</f>
        <v>#VALUE!</v>
      </c>
    </row>
    <row r="4" spans="1:10" x14ac:dyDescent="0.2">
      <c r="A4" t="s">
        <v>13</v>
      </c>
      <c r="B4" t="s">
        <v>52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I4" t="e">
        <f t="shared" ref="I4:I25" si="0">I3-B4+C4</f>
        <v>#VALUE!</v>
      </c>
      <c r="J4" t="e">
        <f>H1__2[[#This Row],[Column2]]+H1__2[[#This Row],[Column7]]</f>
        <v>#VALUE!</v>
      </c>
    </row>
    <row r="5" spans="1:10" x14ac:dyDescent="0.2">
      <c r="A5" t="s">
        <v>14</v>
      </c>
      <c r="B5" t="s">
        <v>52</v>
      </c>
      <c r="C5" t="s">
        <v>10</v>
      </c>
      <c r="D5" t="s">
        <v>10</v>
      </c>
      <c r="E5" t="s">
        <v>26</v>
      </c>
      <c r="F5" t="s">
        <v>10</v>
      </c>
      <c r="G5" t="s">
        <v>10</v>
      </c>
      <c r="I5" t="e">
        <f t="shared" si="0"/>
        <v>#VALUE!</v>
      </c>
      <c r="J5" t="e">
        <f>H1__2[[#This Row],[Column2]]+H1__2[[#This Row],[Column7]]</f>
        <v>#VALUE!</v>
      </c>
    </row>
    <row r="6" spans="1:10" x14ac:dyDescent="0.2">
      <c r="A6" t="s">
        <v>15</v>
      </c>
      <c r="B6" t="s">
        <v>52</v>
      </c>
      <c r="C6" t="s">
        <v>10</v>
      </c>
      <c r="D6" t="s">
        <v>10</v>
      </c>
      <c r="E6" t="s">
        <v>26</v>
      </c>
      <c r="F6" t="s">
        <v>10</v>
      </c>
      <c r="G6" t="s">
        <v>10</v>
      </c>
      <c r="I6" t="e">
        <f t="shared" si="0"/>
        <v>#VALUE!</v>
      </c>
      <c r="J6" t="e">
        <f>H1__2[[#This Row],[Column2]]+H1__2[[#This Row],[Column7]]</f>
        <v>#VALUE!</v>
      </c>
    </row>
    <row r="7" spans="1:10" x14ac:dyDescent="0.2">
      <c r="A7" t="s">
        <v>16</v>
      </c>
      <c r="B7" t="s">
        <v>52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I7" t="e">
        <f t="shared" si="0"/>
        <v>#VALUE!</v>
      </c>
      <c r="J7" t="e">
        <f>H1__2[[#This Row],[Column2]]+H1__2[[#This Row],[Column7]]</f>
        <v>#VALUE!</v>
      </c>
    </row>
    <row r="8" spans="1:10" x14ac:dyDescent="0.2">
      <c r="A8" t="s">
        <v>17</v>
      </c>
      <c r="B8" t="s">
        <v>52</v>
      </c>
      <c r="C8" t="s">
        <v>10</v>
      </c>
      <c r="D8" t="s">
        <v>10</v>
      </c>
      <c r="E8" t="s">
        <v>26</v>
      </c>
      <c r="F8" t="s">
        <v>10</v>
      </c>
      <c r="G8" t="s">
        <v>10</v>
      </c>
      <c r="I8" t="e">
        <f t="shared" si="0"/>
        <v>#VALUE!</v>
      </c>
      <c r="J8" t="e">
        <f>H1__2[[#This Row],[Column2]]+H1__2[[#This Row],[Column7]]</f>
        <v>#VALUE!</v>
      </c>
    </row>
    <row r="9" spans="1:10" x14ac:dyDescent="0.2">
      <c r="A9" t="s">
        <v>18</v>
      </c>
      <c r="B9" t="s">
        <v>52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I9" t="e">
        <f t="shared" si="0"/>
        <v>#VALUE!</v>
      </c>
      <c r="J9" t="e">
        <f>H1__2[[#This Row],[Column2]]+H1__2[[#This Row],[Column7]]</f>
        <v>#VALUE!</v>
      </c>
    </row>
    <row r="10" spans="1:10" x14ac:dyDescent="0.2">
      <c r="A10" t="s">
        <v>19</v>
      </c>
      <c r="B10" t="s">
        <v>52</v>
      </c>
      <c r="C10" t="s">
        <v>10</v>
      </c>
      <c r="D10" t="s">
        <v>10</v>
      </c>
      <c r="E10" t="s">
        <v>26</v>
      </c>
      <c r="F10" t="s">
        <v>10</v>
      </c>
      <c r="G10" t="s">
        <v>10</v>
      </c>
      <c r="I10" t="e">
        <f t="shared" si="0"/>
        <v>#VALUE!</v>
      </c>
      <c r="J10" t="e">
        <f>H1__2[[#This Row],[Column2]]+H1__2[[#This Row],[Column7]]</f>
        <v>#VALUE!</v>
      </c>
    </row>
    <row r="11" spans="1:10" x14ac:dyDescent="0.2">
      <c r="A11" t="s">
        <v>20</v>
      </c>
      <c r="B11" t="s">
        <v>52</v>
      </c>
      <c r="C11" t="s">
        <v>10</v>
      </c>
      <c r="D11" t="s">
        <v>10</v>
      </c>
      <c r="E11" t="s">
        <v>26</v>
      </c>
      <c r="F11" t="s">
        <v>10</v>
      </c>
      <c r="G11" t="s">
        <v>10</v>
      </c>
      <c r="I11" t="e">
        <f t="shared" si="0"/>
        <v>#VALUE!</v>
      </c>
      <c r="J11" t="e">
        <f>H1__2[[#This Row],[Column2]]+H1__2[[#This Row],[Column7]]</f>
        <v>#VALUE!</v>
      </c>
    </row>
    <row r="12" spans="1:10" x14ac:dyDescent="0.2">
      <c r="A12" t="s">
        <v>21</v>
      </c>
      <c r="B12" t="s">
        <v>52</v>
      </c>
      <c r="C12" t="s">
        <v>10</v>
      </c>
      <c r="D12" t="s">
        <v>26</v>
      </c>
      <c r="E12" t="s">
        <v>40</v>
      </c>
      <c r="F12" t="s">
        <v>10</v>
      </c>
      <c r="G12" t="s">
        <v>10</v>
      </c>
      <c r="I12" t="e">
        <f t="shared" si="0"/>
        <v>#VALUE!</v>
      </c>
      <c r="J12" t="e">
        <f>H1__2[[#This Row],[Column2]]+H1__2[[#This Row],[Column7]]</f>
        <v>#VALUE!</v>
      </c>
    </row>
    <row r="13" spans="1:10" x14ac:dyDescent="0.2">
      <c r="A13" t="s">
        <v>22</v>
      </c>
      <c r="B13" t="s">
        <v>52</v>
      </c>
      <c r="C13" t="s">
        <v>10</v>
      </c>
      <c r="D13" t="s">
        <v>11</v>
      </c>
      <c r="E13" t="s">
        <v>41</v>
      </c>
      <c r="F13" t="s">
        <v>10</v>
      </c>
      <c r="G13" t="s">
        <v>10</v>
      </c>
      <c r="I13" t="e">
        <f t="shared" si="0"/>
        <v>#VALUE!</v>
      </c>
      <c r="J13" t="e">
        <f>H1__2[[#This Row],[Column2]]+H1__2[[#This Row],[Column7]]</f>
        <v>#VALUE!</v>
      </c>
    </row>
    <row r="14" spans="1:10" x14ac:dyDescent="0.2">
      <c r="A14" t="s">
        <v>23</v>
      </c>
      <c r="B14" t="s">
        <v>52</v>
      </c>
      <c r="C14" t="s">
        <v>10</v>
      </c>
      <c r="D14" t="s">
        <v>46</v>
      </c>
      <c r="E14" t="s">
        <v>10</v>
      </c>
      <c r="F14" t="s">
        <v>10</v>
      </c>
      <c r="G14" t="s">
        <v>10</v>
      </c>
      <c r="I14" t="e">
        <f t="shared" si="0"/>
        <v>#VALUE!</v>
      </c>
      <c r="J14" t="e">
        <f>H1__2[[#This Row],[Column2]]+H1__2[[#This Row],[Column7]]</f>
        <v>#VALUE!</v>
      </c>
    </row>
    <row r="15" spans="1:10" x14ac:dyDescent="0.2">
      <c r="A15" t="s">
        <v>24</v>
      </c>
      <c r="B15" t="s">
        <v>52</v>
      </c>
      <c r="C15" t="s">
        <v>10</v>
      </c>
      <c r="D15" t="s">
        <v>11</v>
      </c>
      <c r="E15" t="s">
        <v>47</v>
      </c>
      <c r="F15" t="s">
        <v>10</v>
      </c>
      <c r="G15" t="s">
        <v>10</v>
      </c>
      <c r="I15" t="e">
        <f t="shared" si="0"/>
        <v>#VALUE!</v>
      </c>
      <c r="J15" t="e">
        <f>H1__2[[#This Row],[Column2]]+H1__2[[#This Row],[Column7]]</f>
        <v>#VALUE!</v>
      </c>
    </row>
    <row r="16" spans="1:10" x14ac:dyDescent="0.2">
      <c r="A16" t="s">
        <v>25</v>
      </c>
      <c r="B16" t="s">
        <v>52</v>
      </c>
      <c r="C16" t="s">
        <v>10</v>
      </c>
      <c r="D16" t="s">
        <v>26</v>
      </c>
      <c r="E16" t="s">
        <v>26</v>
      </c>
      <c r="F16" t="s">
        <v>10</v>
      </c>
      <c r="G16" t="s">
        <v>10</v>
      </c>
      <c r="I16" t="e">
        <f t="shared" si="0"/>
        <v>#VALUE!</v>
      </c>
      <c r="J16" t="e">
        <f>H1__2[[#This Row],[Column2]]+H1__2[[#This Row],[Column7]]</f>
        <v>#VALUE!</v>
      </c>
    </row>
    <row r="17" spans="1:10" x14ac:dyDescent="0.2">
      <c r="A17" t="s">
        <v>27</v>
      </c>
      <c r="B17" t="s">
        <v>52</v>
      </c>
      <c r="C17" t="s">
        <v>10</v>
      </c>
      <c r="D17" t="s">
        <v>10</v>
      </c>
      <c r="E17" t="s">
        <v>26</v>
      </c>
      <c r="F17" t="s">
        <v>10</v>
      </c>
      <c r="G17" t="s">
        <v>10</v>
      </c>
      <c r="I17" t="e">
        <f t="shared" si="0"/>
        <v>#VALUE!</v>
      </c>
      <c r="J17" t="e">
        <f>H1__2[[#This Row],[Column2]]+H1__2[[#This Row],[Column7]]</f>
        <v>#VALUE!</v>
      </c>
    </row>
    <row r="18" spans="1:10" x14ac:dyDescent="0.2">
      <c r="A18" t="s">
        <v>28</v>
      </c>
      <c r="B18" t="s">
        <v>52</v>
      </c>
      <c r="C18" t="s">
        <v>10</v>
      </c>
      <c r="D18" t="s">
        <v>10</v>
      </c>
      <c r="E18" t="s">
        <v>48</v>
      </c>
      <c r="F18" t="s">
        <v>10</v>
      </c>
      <c r="G18" t="s">
        <v>10</v>
      </c>
      <c r="I18" t="e">
        <f t="shared" si="0"/>
        <v>#VALUE!</v>
      </c>
      <c r="J18" t="e">
        <f>H1__2[[#This Row],[Column2]]+H1__2[[#This Row],[Column7]]</f>
        <v>#VALUE!</v>
      </c>
    </row>
    <row r="19" spans="1:10" x14ac:dyDescent="0.2">
      <c r="A19" t="s">
        <v>29</v>
      </c>
      <c r="B19" t="s">
        <v>52</v>
      </c>
      <c r="C19" t="s">
        <v>10</v>
      </c>
      <c r="D19" t="s">
        <v>10</v>
      </c>
      <c r="E19" t="s">
        <v>49</v>
      </c>
      <c r="F19" t="s">
        <v>10</v>
      </c>
      <c r="G19" t="s">
        <v>10</v>
      </c>
      <c r="I19" t="e">
        <f t="shared" si="0"/>
        <v>#VALUE!</v>
      </c>
      <c r="J19" t="e">
        <f>H1__2[[#This Row],[Column2]]+H1__2[[#This Row],[Column7]]</f>
        <v>#VALUE!</v>
      </c>
    </row>
    <row r="20" spans="1:10" x14ac:dyDescent="0.2">
      <c r="A20" t="s">
        <v>30</v>
      </c>
      <c r="B20" t="s">
        <v>52</v>
      </c>
      <c r="C20" t="s">
        <v>10</v>
      </c>
      <c r="D20" t="s">
        <v>10</v>
      </c>
      <c r="E20" t="s">
        <v>47</v>
      </c>
      <c r="F20" t="s">
        <v>10</v>
      </c>
      <c r="G20" t="s">
        <v>10</v>
      </c>
      <c r="I20" t="e">
        <f t="shared" si="0"/>
        <v>#VALUE!</v>
      </c>
      <c r="J20" t="e">
        <f>H1__2[[#This Row],[Column2]]+H1__2[[#This Row],[Column7]]</f>
        <v>#VALUE!</v>
      </c>
    </row>
    <row r="21" spans="1:10" x14ac:dyDescent="0.2">
      <c r="A21" t="s">
        <v>31</v>
      </c>
      <c r="B21" t="s">
        <v>52</v>
      </c>
      <c r="C21" t="s">
        <v>10</v>
      </c>
      <c r="D21" t="s">
        <v>10</v>
      </c>
      <c r="E21" t="s">
        <v>50</v>
      </c>
      <c r="F21" t="s">
        <v>10</v>
      </c>
      <c r="G21" t="s">
        <v>10</v>
      </c>
      <c r="I21" t="e">
        <f t="shared" si="0"/>
        <v>#VALUE!</v>
      </c>
      <c r="J21" t="e">
        <f>H1__2[[#This Row],[Column2]]+H1__2[[#This Row],[Column7]]</f>
        <v>#VALUE!</v>
      </c>
    </row>
    <row r="22" spans="1:10" x14ac:dyDescent="0.2">
      <c r="A22" t="s">
        <v>32</v>
      </c>
      <c r="B22" t="s">
        <v>52</v>
      </c>
      <c r="C22" t="s">
        <v>10</v>
      </c>
      <c r="D22" t="s">
        <v>10</v>
      </c>
      <c r="E22" t="s">
        <v>51</v>
      </c>
      <c r="F22" t="s">
        <v>10</v>
      </c>
      <c r="G22" t="s">
        <v>10</v>
      </c>
      <c r="I22" t="e">
        <f t="shared" si="0"/>
        <v>#VALUE!</v>
      </c>
      <c r="J22" t="e">
        <f>H1__2[[#This Row],[Column2]]+H1__2[[#This Row],[Column7]]</f>
        <v>#VALUE!</v>
      </c>
    </row>
    <row r="23" spans="1:10" x14ac:dyDescent="0.2">
      <c r="A23" t="s">
        <v>33</v>
      </c>
      <c r="B23" t="s">
        <v>52</v>
      </c>
      <c r="C23" t="s">
        <v>10</v>
      </c>
      <c r="D23" t="s">
        <v>10</v>
      </c>
      <c r="E23" t="s">
        <v>46</v>
      </c>
      <c r="F23" t="s">
        <v>10</v>
      </c>
      <c r="G23" t="s">
        <v>10</v>
      </c>
      <c r="I23" t="e">
        <f t="shared" si="0"/>
        <v>#VALUE!</v>
      </c>
      <c r="J23" t="e">
        <f>H1__2[[#This Row],[Column2]]+H1__2[[#This Row],[Column7]]</f>
        <v>#VALUE!</v>
      </c>
    </row>
    <row r="24" spans="1:10" x14ac:dyDescent="0.2">
      <c r="A24" t="s">
        <v>34</v>
      </c>
      <c r="B24" t="s">
        <v>52</v>
      </c>
      <c r="C24" t="s">
        <v>10</v>
      </c>
      <c r="D24" t="s">
        <v>10</v>
      </c>
      <c r="E24" t="s">
        <v>40</v>
      </c>
      <c r="F24" t="s">
        <v>10</v>
      </c>
      <c r="G24" t="s">
        <v>10</v>
      </c>
      <c r="I24" t="e">
        <f t="shared" si="0"/>
        <v>#VALUE!</v>
      </c>
      <c r="J24" t="e">
        <f>H1__2[[#This Row],[Column2]]+H1__2[[#This Row],[Column7]]</f>
        <v>#VALUE!</v>
      </c>
    </row>
    <row r="25" spans="1:10" x14ac:dyDescent="0.2">
      <c r="A25" t="s">
        <v>35</v>
      </c>
      <c r="B25" t="s">
        <v>52</v>
      </c>
      <c r="C25" t="s">
        <v>10</v>
      </c>
      <c r="D25" t="s">
        <v>10</v>
      </c>
      <c r="E25" t="s">
        <v>40</v>
      </c>
      <c r="F25" t="s">
        <v>10</v>
      </c>
      <c r="G25" t="s">
        <v>10</v>
      </c>
      <c r="I25" t="e">
        <f t="shared" si="0"/>
        <v>#VALUE!</v>
      </c>
      <c r="J25" t="e">
        <f>H1__2[[#This Row],[Column2]]+H1__2[[#This Row],[Column7]]</f>
        <v>#VALUE!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6BD8-58AE-1445-9D83-147AD130F8DA}">
  <dimension ref="A1:J25"/>
  <sheetViews>
    <sheetView zoomScale="120" zoomScaleNormal="120" workbookViewId="0">
      <selection activeCell="D4" sqref="D4"/>
    </sheetView>
  </sheetViews>
  <sheetFormatPr baseColWidth="10" defaultRowHeight="16" x14ac:dyDescent="0.2"/>
  <cols>
    <col min="1" max="1" width="18" bestFit="1" customWidth="1"/>
    <col min="2" max="2" width="12.33203125" bestFit="1" customWidth="1"/>
    <col min="3" max="3" width="11.1640625" bestFit="1" customWidth="1"/>
    <col min="4" max="4" width="13" bestFit="1" customWidth="1"/>
    <col min="5" max="5" width="15" bestFit="1" customWidth="1"/>
    <col min="7" max="7" width="14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38</v>
      </c>
      <c r="H1" t="s">
        <v>37</v>
      </c>
      <c r="I1" t="s">
        <v>36</v>
      </c>
      <c r="J1" t="s">
        <v>39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G2">
        <v>100</v>
      </c>
    </row>
    <row r="3" spans="1:10" x14ac:dyDescent="0.2">
      <c r="A3" t="s">
        <v>12</v>
      </c>
      <c r="B3" t="s">
        <v>52</v>
      </c>
      <c r="C3" t="s">
        <v>10</v>
      </c>
      <c r="D3" t="s">
        <v>10</v>
      </c>
      <c r="E3" t="s">
        <v>26</v>
      </c>
      <c r="G3" t="e">
        <f>H1_[[#This Row],[Column2]]+H1_[[#This Row],[Column3]]</f>
        <v>#VALUE!</v>
      </c>
      <c r="H3" t="e">
        <f>G2-H1_[[#This Row],[Column5]]</f>
        <v>#VALUE!</v>
      </c>
      <c r="I3" t="e">
        <f>H1_[[#This Row],[Column5]]-H1_[[#This Row],[Column4]]-H1_[[#This Row],[Column2]]</f>
        <v>#VALUE!</v>
      </c>
      <c r="J3" t="e">
        <f>G2-H1_[[#This Row],[Column2]]+H1_[[#This Row],[Column3]]</f>
        <v>#VALUE!</v>
      </c>
    </row>
    <row r="4" spans="1:10" x14ac:dyDescent="0.2">
      <c r="A4" t="s">
        <v>13</v>
      </c>
      <c r="B4" t="s">
        <v>52</v>
      </c>
      <c r="C4" t="s">
        <v>10</v>
      </c>
      <c r="D4" t="s">
        <v>10</v>
      </c>
      <c r="E4" t="s">
        <v>10</v>
      </c>
      <c r="G4" t="e">
        <f>H1_[[#This Row],[Column2]]+H1_[[#This Row],[Column3]]</f>
        <v>#VALUE!</v>
      </c>
      <c r="I4" t="e">
        <f>H1_[[#This Row],[Column5]]-H1_[[#This Row],[Column4]]-H1_[[#This Row],[Column2]]</f>
        <v>#VALUE!</v>
      </c>
      <c r="J4" t="e">
        <f>G3-H1_[[#This Row],[Column2]]+H1_[[#This Row],[Column3]]</f>
        <v>#VALUE!</v>
      </c>
    </row>
    <row r="5" spans="1:10" x14ac:dyDescent="0.2">
      <c r="A5" t="s">
        <v>14</v>
      </c>
      <c r="B5" t="s">
        <v>52</v>
      </c>
      <c r="C5" t="s">
        <v>10</v>
      </c>
      <c r="D5" t="s">
        <v>10</v>
      </c>
      <c r="E5" t="s">
        <v>26</v>
      </c>
      <c r="G5" t="e">
        <f>H1_[[#This Row],[Column2]]+H1_[[#This Row],[Column3]]</f>
        <v>#VALUE!</v>
      </c>
      <c r="J5" t="e">
        <f>G4-H1_[[#This Row],[Column2]]+H1_[[#This Row],[Column3]]</f>
        <v>#VALUE!</v>
      </c>
    </row>
    <row r="6" spans="1:10" x14ac:dyDescent="0.2">
      <c r="A6" t="s">
        <v>15</v>
      </c>
      <c r="B6" t="s">
        <v>52</v>
      </c>
      <c r="C6" t="s">
        <v>10</v>
      </c>
      <c r="D6" t="s">
        <v>10</v>
      </c>
      <c r="E6" t="s">
        <v>26</v>
      </c>
      <c r="G6" t="e">
        <f>H1_[[#This Row],[Column2]]+H1_[[#This Row],[Column3]]</f>
        <v>#VALUE!</v>
      </c>
      <c r="J6" t="e">
        <f>G5-H1_[[#This Row],[Column2]]+H1_[[#This Row],[Column3]]</f>
        <v>#VALUE!</v>
      </c>
    </row>
    <row r="7" spans="1:10" x14ac:dyDescent="0.2">
      <c r="A7" t="s">
        <v>16</v>
      </c>
      <c r="B7" t="s">
        <v>52</v>
      </c>
      <c r="C7" t="s">
        <v>10</v>
      </c>
      <c r="D7" t="s">
        <v>10</v>
      </c>
      <c r="E7" t="s">
        <v>10</v>
      </c>
      <c r="G7" t="e">
        <f>H1_[[#This Row],[Column2]]+H1_[[#This Row],[Column3]]</f>
        <v>#VALUE!</v>
      </c>
      <c r="J7" t="e">
        <f>G6-H1_[[#This Row],[Column2]]+H1_[[#This Row],[Column3]]</f>
        <v>#VALUE!</v>
      </c>
    </row>
    <row r="8" spans="1:10" x14ac:dyDescent="0.2">
      <c r="A8" t="s">
        <v>17</v>
      </c>
      <c r="B8" t="s">
        <v>52</v>
      </c>
      <c r="C8" t="s">
        <v>10</v>
      </c>
      <c r="D8" t="s">
        <v>10</v>
      </c>
      <c r="E8" t="s">
        <v>26</v>
      </c>
      <c r="G8" t="e">
        <f>H1_[[#This Row],[Column2]]+H1_[[#This Row],[Column3]]</f>
        <v>#VALUE!</v>
      </c>
      <c r="J8" t="e">
        <f>G7-H1_[[#This Row],[Column2]]+H1_[[#This Row],[Column3]]</f>
        <v>#VALUE!</v>
      </c>
    </row>
    <row r="9" spans="1:10" x14ac:dyDescent="0.2">
      <c r="A9" t="s">
        <v>18</v>
      </c>
      <c r="B9" t="s">
        <v>52</v>
      </c>
      <c r="C9" t="s">
        <v>10</v>
      </c>
      <c r="D9" t="s">
        <v>10</v>
      </c>
      <c r="E9" t="s">
        <v>10</v>
      </c>
      <c r="G9" t="e">
        <f>H1_[[#This Row],[Column2]]+H1_[[#This Row],[Column3]]</f>
        <v>#VALUE!</v>
      </c>
      <c r="J9" t="e">
        <f>G8-H1_[[#This Row],[Column2]]+H1_[[#This Row],[Column3]]</f>
        <v>#VALUE!</v>
      </c>
    </row>
    <row r="10" spans="1:10" x14ac:dyDescent="0.2">
      <c r="A10" t="s">
        <v>19</v>
      </c>
      <c r="B10" t="s">
        <v>52</v>
      </c>
      <c r="C10" t="s">
        <v>10</v>
      </c>
      <c r="D10" t="s">
        <v>10</v>
      </c>
      <c r="E10" t="s">
        <v>26</v>
      </c>
      <c r="G10" t="e">
        <f>H1_[[#This Row],[Column2]]+H1_[[#This Row],[Column3]]</f>
        <v>#VALUE!</v>
      </c>
      <c r="J10" t="e">
        <f>G9-H1_[[#This Row],[Column2]]+H1_[[#This Row],[Column3]]</f>
        <v>#VALUE!</v>
      </c>
    </row>
    <row r="11" spans="1:10" x14ac:dyDescent="0.2">
      <c r="A11" t="s">
        <v>20</v>
      </c>
      <c r="B11" t="s">
        <v>52</v>
      </c>
      <c r="C11" t="s">
        <v>10</v>
      </c>
      <c r="D11" t="s">
        <v>10</v>
      </c>
      <c r="E11" t="s">
        <v>26</v>
      </c>
      <c r="G11" t="e">
        <f>H1_[[#This Row],[Column2]]+H1_[[#This Row],[Column3]]</f>
        <v>#VALUE!</v>
      </c>
      <c r="J11" t="e">
        <f>G10-H1_[[#This Row],[Column2]]+H1_[[#This Row],[Column3]]</f>
        <v>#VALUE!</v>
      </c>
    </row>
    <row r="12" spans="1:10" x14ac:dyDescent="0.2">
      <c r="A12" t="s">
        <v>21</v>
      </c>
      <c r="B12" t="s">
        <v>52</v>
      </c>
      <c r="C12" t="s">
        <v>10</v>
      </c>
      <c r="D12" t="s">
        <v>26</v>
      </c>
      <c r="E12" t="s">
        <v>40</v>
      </c>
      <c r="G12" t="e">
        <f>H1_[[#This Row],[Column2]]+H1_[[#This Row],[Column3]]</f>
        <v>#VALUE!</v>
      </c>
      <c r="J12" t="e">
        <f>G11-H1_[[#This Row],[Column2]]+H1_[[#This Row],[Column3]]</f>
        <v>#VALUE!</v>
      </c>
    </row>
    <row r="13" spans="1:10" x14ac:dyDescent="0.2">
      <c r="A13" t="s">
        <v>22</v>
      </c>
      <c r="B13" t="s">
        <v>52</v>
      </c>
      <c r="C13" t="s">
        <v>10</v>
      </c>
      <c r="D13" t="s">
        <v>11</v>
      </c>
      <c r="E13" t="s">
        <v>41</v>
      </c>
      <c r="G13" t="e">
        <f>H1_[[#This Row],[Column2]]+H1_[[#This Row],[Column3]]</f>
        <v>#VALUE!</v>
      </c>
      <c r="J13" t="e">
        <f>G12-H1_[[#This Row],[Column2]]+H1_[[#This Row],[Column3]]</f>
        <v>#VALUE!</v>
      </c>
    </row>
    <row r="14" spans="1:10" x14ac:dyDescent="0.2">
      <c r="A14" t="s">
        <v>23</v>
      </c>
      <c r="B14" t="s">
        <v>52</v>
      </c>
      <c r="C14" t="s">
        <v>10</v>
      </c>
      <c r="D14" t="s">
        <v>46</v>
      </c>
      <c r="E14" t="s">
        <v>10</v>
      </c>
      <c r="G14" t="e">
        <f>H1_[[#This Row],[Column2]]+H1_[[#This Row],[Column3]]</f>
        <v>#VALUE!</v>
      </c>
      <c r="J14" t="e">
        <f>G13-H1_[[#This Row],[Column2]]+H1_[[#This Row],[Column3]]</f>
        <v>#VALUE!</v>
      </c>
    </row>
    <row r="15" spans="1:10" x14ac:dyDescent="0.2">
      <c r="A15" t="s">
        <v>24</v>
      </c>
      <c r="B15" t="s">
        <v>52</v>
      </c>
      <c r="C15" t="s">
        <v>10</v>
      </c>
      <c r="D15" t="s">
        <v>11</v>
      </c>
      <c r="E15" t="s">
        <v>47</v>
      </c>
      <c r="G15" t="e">
        <f>H1_[[#This Row],[Column2]]+H1_[[#This Row],[Column3]]</f>
        <v>#VALUE!</v>
      </c>
      <c r="J15" t="e">
        <f>G14-H1_[[#This Row],[Column2]]+H1_[[#This Row],[Column3]]</f>
        <v>#VALUE!</v>
      </c>
    </row>
    <row r="16" spans="1:10" x14ac:dyDescent="0.2">
      <c r="A16" t="s">
        <v>25</v>
      </c>
      <c r="B16" t="s">
        <v>52</v>
      </c>
      <c r="C16" t="s">
        <v>10</v>
      </c>
      <c r="D16" t="s">
        <v>26</v>
      </c>
      <c r="E16" t="s">
        <v>26</v>
      </c>
      <c r="G16" t="e">
        <f>H1_[[#This Row],[Column2]]+H1_[[#This Row],[Column3]]</f>
        <v>#VALUE!</v>
      </c>
      <c r="J16" t="e">
        <f>G15-H1_[[#This Row],[Column2]]+H1_[[#This Row],[Column3]]</f>
        <v>#VALUE!</v>
      </c>
    </row>
    <row r="17" spans="1:10" x14ac:dyDescent="0.2">
      <c r="A17" t="s">
        <v>27</v>
      </c>
      <c r="B17" t="s">
        <v>52</v>
      </c>
      <c r="C17" t="s">
        <v>10</v>
      </c>
      <c r="D17" t="s">
        <v>10</v>
      </c>
      <c r="E17" t="s">
        <v>26</v>
      </c>
      <c r="G17" t="e">
        <f>H1_[[#This Row],[Column2]]+H1_[[#This Row],[Column3]]</f>
        <v>#VALUE!</v>
      </c>
      <c r="J17" t="e">
        <f>G16-H1_[[#This Row],[Column2]]+H1_[[#This Row],[Column3]]</f>
        <v>#VALUE!</v>
      </c>
    </row>
    <row r="18" spans="1:10" x14ac:dyDescent="0.2">
      <c r="A18" t="s">
        <v>28</v>
      </c>
      <c r="B18" t="s">
        <v>52</v>
      </c>
      <c r="C18" t="s">
        <v>10</v>
      </c>
      <c r="D18" t="s">
        <v>10</v>
      </c>
      <c r="E18" t="s">
        <v>48</v>
      </c>
      <c r="G18" t="e">
        <f>H1_[[#This Row],[Column2]]+H1_[[#This Row],[Column3]]</f>
        <v>#VALUE!</v>
      </c>
      <c r="J18" t="e">
        <f>G17-H1_[[#This Row],[Column2]]+H1_[[#This Row],[Column3]]</f>
        <v>#VALUE!</v>
      </c>
    </row>
    <row r="19" spans="1:10" x14ac:dyDescent="0.2">
      <c r="A19" t="s">
        <v>29</v>
      </c>
      <c r="B19" t="s">
        <v>52</v>
      </c>
      <c r="C19" t="s">
        <v>10</v>
      </c>
      <c r="D19" t="s">
        <v>10</v>
      </c>
      <c r="E19" t="s">
        <v>49</v>
      </c>
      <c r="G19" t="e">
        <f>H1_[[#This Row],[Column2]]+H1_[[#This Row],[Column3]]</f>
        <v>#VALUE!</v>
      </c>
      <c r="J19" t="e">
        <f>G18-H1_[[#This Row],[Column2]]+H1_[[#This Row],[Column3]]</f>
        <v>#VALUE!</v>
      </c>
    </row>
    <row r="20" spans="1:10" x14ac:dyDescent="0.2">
      <c r="A20" t="s">
        <v>30</v>
      </c>
      <c r="B20" t="s">
        <v>52</v>
      </c>
      <c r="C20" t="s">
        <v>10</v>
      </c>
      <c r="D20" t="s">
        <v>10</v>
      </c>
      <c r="E20" t="s">
        <v>47</v>
      </c>
      <c r="G20" t="e">
        <f>H1_[[#This Row],[Column2]]+H1_[[#This Row],[Column3]]</f>
        <v>#VALUE!</v>
      </c>
      <c r="J20" t="e">
        <f>G19-H1_[[#This Row],[Column2]]+H1_[[#This Row],[Column3]]</f>
        <v>#VALUE!</v>
      </c>
    </row>
    <row r="21" spans="1:10" x14ac:dyDescent="0.2">
      <c r="A21" t="s">
        <v>31</v>
      </c>
      <c r="B21" t="s">
        <v>52</v>
      </c>
      <c r="C21" t="s">
        <v>10</v>
      </c>
      <c r="D21" t="s">
        <v>10</v>
      </c>
      <c r="E21" t="s">
        <v>50</v>
      </c>
      <c r="G21" t="e">
        <f>H1_[[#This Row],[Column2]]+H1_[[#This Row],[Column3]]</f>
        <v>#VALUE!</v>
      </c>
      <c r="J21" t="e">
        <f>G20-H1_[[#This Row],[Column2]]+H1_[[#This Row],[Column3]]</f>
        <v>#VALUE!</v>
      </c>
    </row>
    <row r="22" spans="1:10" x14ac:dyDescent="0.2">
      <c r="A22" t="s">
        <v>32</v>
      </c>
      <c r="B22" t="s">
        <v>52</v>
      </c>
      <c r="C22" t="s">
        <v>10</v>
      </c>
      <c r="D22" t="s">
        <v>10</v>
      </c>
      <c r="E22" t="s">
        <v>51</v>
      </c>
      <c r="G22" t="e">
        <f>H1_[[#This Row],[Column2]]+H1_[[#This Row],[Column3]]</f>
        <v>#VALUE!</v>
      </c>
      <c r="J22" t="e">
        <f>G21-H1_[[#This Row],[Column2]]+H1_[[#This Row],[Column3]]</f>
        <v>#VALUE!</v>
      </c>
    </row>
    <row r="23" spans="1:10" x14ac:dyDescent="0.2">
      <c r="A23" t="s">
        <v>33</v>
      </c>
      <c r="B23" t="s">
        <v>52</v>
      </c>
      <c r="C23" t="s">
        <v>10</v>
      </c>
      <c r="D23" t="s">
        <v>10</v>
      </c>
      <c r="E23" t="s">
        <v>46</v>
      </c>
      <c r="G23" t="e">
        <f>H1_[[#This Row],[Column2]]+H1_[[#This Row],[Column3]]</f>
        <v>#VALUE!</v>
      </c>
      <c r="J23" t="e">
        <f>G22-H1_[[#This Row],[Column2]]+H1_[[#This Row],[Column3]]</f>
        <v>#VALUE!</v>
      </c>
    </row>
    <row r="24" spans="1:10" x14ac:dyDescent="0.2">
      <c r="A24" t="s">
        <v>34</v>
      </c>
      <c r="B24" t="s">
        <v>52</v>
      </c>
      <c r="C24" t="s">
        <v>10</v>
      </c>
      <c r="D24" t="s">
        <v>10</v>
      </c>
      <c r="E24" t="s">
        <v>40</v>
      </c>
      <c r="G24" t="e">
        <f>H1_[[#This Row],[Column2]]+H1_[[#This Row],[Column3]]</f>
        <v>#VALUE!</v>
      </c>
      <c r="J24" t="e">
        <f>G23-H1_[[#This Row],[Column2]]+H1_[[#This Row],[Column3]]</f>
        <v>#VALUE!</v>
      </c>
    </row>
    <row r="25" spans="1:10" x14ac:dyDescent="0.2">
      <c r="A25" t="s">
        <v>35</v>
      </c>
      <c r="B25" t="s">
        <v>52</v>
      </c>
      <c r="C25" t="s">
        <v>10</v>
      </c>
      <c r="D25" t="s">
        <v>10</v>
      </c>
      <c r="E25" t="s">
        <v>40</v>
      </c>
      <c r="G25" t="e">
        <f>H1_[[#This Row],[Column2]]+H1_[[#This Row],[Column3]]</f>
        <v>#VALUE!</v>
      </c>
      <c r="J25" t="e">
        <f>G24-H1_[[#This Row],[Column2]]+H1_[[#This Row],[Column3]]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9AD7-900F-E44D-97CA-4023A671A368}">
  <dimension ref="A1:P25"/>
  <sheetViews>
    <sheetView zoomScale="140" zoomScaleNormal="140" workbookViewId="0">
      <selection activeCell="C11" sqref="C11"/>
    </sheetView>
  </sheetViews>
  <sheetFormatPr baseColWidth="10" defaultRowHeight="16" x14ac:dyDescent="0.2"/>
  <cols>
    <col min="1" max="1" width="18.6640625" bestFit="1" customWidth="1"/>
    <col min="2" max="2" width="13.33203125" bestFit="1" customWidth="1"/>
    <col min="3" max="3" width="11.1640625" bestFit="1" customWidth="1"/>
    <col min="4" max="4" width="14.1640625" bestFit="1" customWidth="1"/>
    <col min="5" max="5" width="16.33203125" bestFit="1" customWidth="1"/>
    <col min="6" max="6" width="11.33203125" bestFit="1" customWidth="1"/>
    <col min="7" max="7" width="12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</row>
    <row r="2" spans="1:16" x14ac:dyDescent="0.2">
      <c r="A2" t="s">
        <v>5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</row>
    <row r="3" spans="1:16" x14ac:dyDescent="0.2">
      <c r="A3" t="s">
        <v>12</v>
      </c>
      <c r="B3" t="s">
        <v>10</v>
      </c>
      <c r="C3" t="s">
        <v>253</v>
      </c>
      <c r="D3" t="s">
        <v>10</v>
      </c>
      <c r="E3" t="s">
        <v>26</v>
      </c>
      <c r="F3" t="s">
        <v>10</v>
      </c>
      <c r="G3" t="s">
        <v>26</v>
      </c>
      <c r="I3" t="e">
        <f>_2020_01_01__3[[#This Row],[Column2]]/1000</f>
        <v>#VALUE!</v>
      </c>
      <c r="J3" t="e">
        <f>_2020_01_01__3[[#This Row],[Column2]]/1000</f>
        <v>#VALUE!</v>
      </c>
      <c r="K3" t="e">
        <f>_2020_01_01__3[[#This Row],[Column2]]/1000</f>
        <v>#VALUE!</v>
      </c>
      <c r="L3" t="e">
        <f>_2020_01_01__3[[#This Row],[Column2]]/1000</f>
        <v>#VALUE!</v>
      </c>
      <c r="M3" t="e">
        <f>_2020_01_01__3[[#This Row],[Column2]]/1000</f>
        <v>#VALUE!</v>
      </c>
      <c r="N3" t="e">
        <f>_2020_01_01__3[[#This Row],[Column2]]/1000</f>
        <v>#VALUE!</v>
      </c>
      <c r="O3" t="e">
        <f>_2020_01_01__3[[#This Row],[Column2]]/1000</f>
        <v>#VALUE!</v>
      </c>
      <c r="P3" t="e">
        <f>_2020_01_01__3[[#This Row],[Column2]]/1000</f>
        <v>#VALUE!</v>
      </c>
    </row>
    <row r="4" spans="1:16" x14ac:dyDescent="0.2">
      <c r="A4" t="s">
        <v>13</v>
      </c>
      <c r="B4" t="s">
        <v>10</v>
      </c>
      <c r="C4" t="s">
        <v>253</v>
      </c>
      <c r="D4" t="s">
        <v>10</v>
      </c>
      <c r="E4" t="s">
        <v>254</v>
      </c>
      <c r="F4" t="s">
        <v>10</v>
      </c>
      <c r="G4" t="s">
        <v>255</v>
      </c>
      <c r="I4" t="e">
        <f>_2020_01_01__3[[#This Row],[Column2]]/1000</f>
        <v>#VALUE!</v>
      </c>
      <c r="J4" t="e">
        <f>_2020_01_01__3[[#This Row],[Column2]]/1000</f>
        <v>#VALUE!</v>
      </c>
      <c r="K4" t="e">
        <f>_2020_01_01__3[[#This Row],[Column2]]/1000</f>
        <v>#VALUE!</v>
      </c>
      <c r="L4" t="e">
        <f>_2020_01_01__3[[#This Row],[Column2]]/1000</f>
        <v>#VALUE!</v>
      </c>
      <c r="M4" t="e">
        <f>_2020_01_01__3[[#This Row],[Column2]]/1000</f>
        <v>#VALUE!</v>
      </c>
      <c r="N4" t="e">
        <f>_2020_01_01__3[[#This Row],[Column2]]/1000</f>
        <v>#VALUE!</v>
      </c>
      <c r="O4" t="e">
        <f>_2020_01_01__3[[#This Row],[Column2]]/1000</f>
        <v>#VALUE!</v>
      </c>
      <c r="P4" t="e">
        <f>_2020_01_01__3[[#This Row],[Column2]]/1000</f>
        <v>#VALUE!</v>
      </c>
    </row>
    <row r="5" spans="1:16" x14ac:dyDescent="0.2">
      <c r="A5" t="s">
        <v>14</v>
      </c>
      <c r="B5" t="s">
        <v>10</v>
      </c>
      <c r="C5" t="s">
        <v>253</v>
      </c>
      <c r="D5" t="s">
        <v>10</v>
      </c>
      <c r="E5" t="s">
        <v>256</v>
      </c>
      <c r="F5" t="s">
        <v>10</v>
      </c>
      <c r="G5" t="s">
        <v>257</v>
      </c>
      <c r="I5" t="e">
        <f>_2020_01_01__3[[#This Row],[Column2]]/1000</f>
        <v>#VALUE!</v>
      </c>
      <c r="J5" t="e">
        <f>_2020_01_01__3[[#This Row],[Column2]]/1000</f>
        <v>#VALUE!</v>
      </c>
      <c r="K5" t="e">
        <f>_2020_01_01__3[[#This Row],[Column2]]/1000</f>
        <v>#VALUE!</v>
      </c>
      <c r="L5" t="e">
        <f>_2020_01_01__3[[#This Row],[Column2]]/1000</f>
        <v>#VALUE!</v>
      </c>
      <c r="M5" t="e">
        <f>_2020_01_01__3[[#This Row],[Column2]]/1000</f>
        <v>#VALUE!</v>
      </c>
      <c r="N5" t="e">
        <f>_2020_01_01__3[[#This Row],[Column2]]/1000</f>
        <v>#VALUE!</v>
      </c>
      <c r="O5" t="e">
        <f>_2020_01_01__3[[#This Row],[Column2]]/1000</f>
        <v>#VALUE!</v>
      </c>
      <c r="P5" t="e">
        <f>_2020_01_01__3[[#This Row],[Column2]]/1000</f>
        <v>#VALUE!</v>
      </c>
    </row>
    <row r="6" spans="1:16" x14ac:dyDescent="0.2">
      <c r="A6" t="s">
        <v>15</v>
      </c>
      <c r="B6" t="s">
        <v>10</v>
      </c>
      <c r="C6" t="s">
        <v>253</v>
      </c>
      <c r="D6" t="s">
        <v>10</v>
      </c>
      <c r="E6" t="s">
        <v>258</v>
      </c>
      <c r="F6" t="s">
        <v>10</v>
      </c>
      <c r="G6" t="s">
        <v>258</v>
      </c>
      <c r="I6" t="e">
        <f>_2020_01_01__3[[#This Row],[Column2]]/1000</f>
        <v>#VALUE!</v>
      </c>
      <c r="J6" t="e">
        <f>_2020_01_01__3[[#This Row],[Column2]]/1000</f>
        <v>#VALUE!</v>
      </c>
      <c r="K6" t="e">
        <f>_2020_01_01__3[[#This Row],[Column2]]/1000</f>
        <v>#VALUE!</v>
      </c>
      <c r="L6" t="e">
        <f>_2020_01_01__3[[#This Row],[Column2]]/1000</f>
        <v>#VALUE!</v>
      </c>
      <c r="M6" t="e">
        <f>_2020_01_01__3[[#This Row],[Column2]]/1000</f>
        <v>#VALUE!</v>
      </c>
      <c r="N6" t="e">
        <f>_2020_01_01__3[[#This Row],[Column2]]/1000</f>
        <v>#VALUE!</v>
      </c>
      <c r="O6" t="e">
        <f>_2020_01_01__3[[#This Row],[Column2]]/1000</f>
        <v>#VALUE!</v>
      </c>
      <c r="P6" t="e">
        <f>_2020_01_01__3[[#This Row],[Column2]]/1000</f>
        <v>#VALUE!</v>
      </c>
    </row>
    <row r="7" spans="1:16" x14ac:dyDescent="0.2">
      <c r="A7" t="s">
        <v>16</v>
      </c>
      <c r="B7" t="s">
        <v>10</v>
      </c>
      <c r="C7" t="s">
        <v>253</v>
      </c>
      <c r="D7" t="s">
        <v>10</v>
      </c>
      <c r="E7" t="s">
        <v>254</v>
      </c>
      <c r="F7" t="s">
        <v>10</v>
      </c>
      <c r="G7" t="s">
        <v>255</v>
      </c>
      <c r="I7" t="e">
        <f>_2020_01_01__3[[#This Row],[Column2]]/1000</f>
        <v>#VALUE!</v>
      </c>
      <c r="J7" t="e">
        <f>_2020_01_01__3[[#This Row],[Column2]]/1000</f>
        <v>#VALUE!</v>
      </c>
      <c r="K7" t="e">
        <f>_2020_01_01__3[[#This Row],[Column2]]/1000</f>
        <v>#VALUE!</v>
      </c>
      <c r="L7" t="e">
        <f>_2020_01_01__3[[#This Row],[Column2]]/1000</f>
        <v>#VALUE!</v>
      </c>
      <c r="M7" t="e">
        <f>_2020_01_01__3[[#This Row],[Column2]]/1000</f>
        <v>#VALUE!</v>
      </c>
      <c r="N7" t="e">
        <f>_2020_01_01__3[[#This Row],[Column2]]/1000</f>
        <v>#VALUE!</v>
      </c>
      <c r="O7" t="e">
        <f>_2020_01_01__3[[#This Row],[Column2]]/1000</f>
        <v>#VALUE!</v>
      </c>
      <c r="P7" t="e">
        <f>_2020_01_01__3[[#This Row],[Column2]]/1000</f>
        <v>#VALUE!</v>
      </c>
    </row>
    <row r="8" spans="1:16" x14ac:dyDescent="0.2">
      <c r="A8" t="s">
        <v>17</v>
      </c>
      <c r="B8" t="s">
        <v>10</v>
      </c>
      <c r="C8" t="s">
        <v>253</v>
      </c>
      <c r="D8" t="s">
        <v>10</v>
      </c>
      <c r="E8" t="s">
        <v>258</v>
      </c>
      <c r="F8" t="s">
        <v>10</v>
      </c>
      <c r="G8" t="s">
        <v>256</v>
      </c>
      <c r="I8" t="e">
        <f>_2020_01_01__3[[#This Row],[Column2]]/1000</f>
        <v>#VALUE!</v>
      </c>
      <c r="J8" t="e">
        <f>_2020_01_01__3[[#This Row],[Column2]]/1000</f>
        <v>#VALUE!</v>
      </c>
      <c r="K8" t="e">
        <f>_2020_01_01__3[[#This Row],[Column2]]/1000</f>
        <v>#VALUE!</v>
      </c>
      <c r="L8" t="e">
        <f>_2020_01_01__3[[#This Row],[Column2]]/1000</f>
        <v>#VALUE!</v>
      </c>
      <c r="M8" t="e">
        <f>_2020_01_01__3[[#This Row],[Column2]]/1000</f>
        <v>#VALUE!</v>
      </c>
      <c r="N8" t="e">
        <f>_2020_01_01__3[[#This Row],[Column2]]/1000</f>
        <v>#VALUE!</v>
      </c>
      <c r="O8" t="e">
        <f>_2020_01_01__3[[#This Row],[Column2]]/1000</f>
        <v>#VALUE!</v>
      </c>
      <c r="P8" t="e">
        <f>_2020_01_01__3[[#This Row],[Column2]]/1000</f>
        <v>#VALUE!</v>
      </c>
    </row>
    <row r="9" spans="1:16" x14ac:dyDescent="0.2">
      <c r="A9" t="s">
        <v>18</v>
      </c>
      <c r="B9" t="s">
        <v>10</v>
      </c>
      <c r="C9" t="s">
        <v>253</v>
      </c>
      <c r="D9" t="s">
        <v>10</v>
      </c>
      <c r="E9" t="s">
        <v>254</v>
      </c>
      <c r="F9" t="s">
        <v>10</v>
      </c>
      <c r="G9" t="s">
        <v>255</v>
      </c>
      <c r="I9" t="e">
        <f>_2020_01_01__3[[#This Row],[Column2]]/1000</f>
        <v>#VALUE!</v>
      </c>
      <c r="J9" t="e">
        <f>_2020_01_01__3[[#This Row],[Column2]]/1000</f>
        <v>#VALUE!</v>
      </c>
      <c r="K9" t="e">
        <f>_2020_01_01__3[[#This Row],[Column2]]/1000</f>
        <v>#VALUE!</v>
      </c>
      <c r="L9" t="e">
        <f>_2020_01_01__3[[#This Row],[Column2]]/1000</f>
        <v>#VALUE!</v>
      </c>
      <c r="M9" t="e">
        <f>_2020_01_01__3[[#This Row],[Column2]]/1000</f>
        <v>#VALUE!</v>
      </c>
      <c r="N9" t="e">
        <f>_2020_01_01__3[[#This Row],[Column2]]/1000</f>
        <v>#VALUE!</v>
      </c>
      <c r="O9" t="e">
        <f>_2020_01_01__3[[#This Row],[Column2]]/1000</f>
        <v>#VALUE!</v>
      </c>
      <c r="P9" t="e">
        <f>_2020_01_01__3[[#This Row],[Column2]]/1000</f>
        <v>#VALUE!</v>
      </c>
    </row>
    <row r="10" spans="1:16" x14ac:dyDescent="0.2">
      <c r="A10" t="s">
        <v>19</v>
      </c>
      <c r="B10" t="s">
        <v>10</v>
      </c>
      <c r="C10" t="s">
        <v>253</v>
      </c>
      <c r="D10" t="s">
        <v>10</v>
      </c>
      <c r="E10" t="s">
        <v>258</v>
      </c>
      <c r="F10" t="s">
        <v>10</v>
      </c>
      <c r="G10" t="s">
        <v>256</v>
      </c>
      <c r="I10" t="e">
        <f>_2020_01_01__3[[#This Row],[Column2]]/1000</f>
        <v>#VALUE!</v>
      </c>
      <c r="J10" t="e">
        <f>_2020_01_01__3[[#This Row],[Column2]]/1000</f>
        <v>#VALUE!</v>
      </c>
      <c r="K10" t="e">
        <f>_2020_01_01__3[[#This Row],[Column2]]/1000</f>
        <v>#VALUE!</v>
      </c>
      <c r="L10" t="e">
        <f>_2020_01_01__3[[#This Row],[Column2]]/1000</f>
        <v>#VALUE!</v>
      </c>
      <c r="M10" t="e">
        <f>_2020_01_01__3[[#This Row],[Column2]]/1000</f>
        <v>#VALUE!</v>
      </c>
      <c r="N10" t="e">
        <f>_2020_01_01__3[[#This Row],[Column2]]/1000</f>
        <v>#VALUE!</v>
      </c>
      <c r="O10" t="e">
        <f>_2020_01_01__3[[#This Row],[Column2]]/1000</f>
        <v>#VALUE!</v>
      </c>
      <c r="P10" t="e">
        <f>_2020_01_01__3[[#This Row],[Column2]]/1000</f>
        <v>#VALUE!</v>
      </c>
    </row>
    <row r="11" spans="1:16" x14ac:dyDescent="0.2">
      <c r="A11" t="s">
        <v>20</v>
      </c>
      <c r="B11" t="s">
        <v>10</v>
      </c>
      <c r="C11" t="s">
        <v>10</v>
      </c>
      <c r="D11" t="s">
        <v>259</v>
      </c>
      <c r="E11" t="s">
        <v>260</v>
      </c>
      <c r="F11" t="s">
        <v>10</v>
      </c>
      <c r="G11" t="s">
        <v>255</v>
      </c>
      <c r="I11" t="e">
        <f>_2020_01_01__3[[#This Row],[Column2]]/1000</f>
        <v>#VALUE!</v>
      </c>
      <c r="J11" t="e">
        <f>_2020_01_01__3[[#This Row],[Column2]]/1000</f>
        <v>#VALUE!</v>
      </c>
      <c r="K11" t="e">
        <f>_2020_01_01__3[[#This Row],[Column2]]/1000</f>
        <v>#VALUE!</v>
      </c>
      <c r="L11" t="e">
        <f>_2020_01_01__3[[#This Row],[Column2]]/1000</f>
        <v>#VALUE!</v>
      </c>
      <c r="M11" t="e">
        <f>_2020_01_01__3[[#This Row],[Column2]]/1000</f>
        <v>#VALUE!</v>
      </c>
      <c r="N11" t="e">
        <f>_2020_01_01__3[[#This Row],[Column2]]/1000</f>
        <v>#VALUE!</v>
      </c>
      <c r="O11" t="e">
        <f>_2020_01_01__3[[#This Row],[Column2]]/1000</f>
        <v>#VALUE!</v>
      </c>
      <c r="P11" t="e">
        <f>_2020_01_01__3[[#This Row],[Column2]]/1000</f>
        <v>#VALUE!</v>
      </c>
    </row>
    <row r="12" spans="1:16" x14ac:dyDescent="0.2">
      <c r="A12" t="s">
        <v>21</v>
      </c>
      <c r="B12" t="s">
        <v>10</v>
      </c>
      <c r="C12" t="s">
        <v>255</v>
      </c>
      <c r="D12" t="s">
        <v>261</v>
      </c>
      <c r="E12" t="s">
        <v>262</v>
      </c>
      <c r="F12" t="s">
        <v>10</v>
      </c>
      <c r="G12" t="s">
        <v>263</v>
      </c>
      <c r="I12" t="e">
        <f>_2020_01_01__3[[#This Row],[Column2]]/1000</f>
        <v>#VALUE!</v>
      </c>
      <c r="J12" t="e">
        <f>_2020_01_01__3[[#This Row],[Column2]]/1000</f>
        <v>#VALUE!</v>
      </c>
      <c r="K12" t="e">
        <f>_2020_01_01__3[[#This Row],[Column2]]/1000</f>
        <v>#VALUE!</v>
      </c>
      <c r="L12" t="e">
        <f>_2020_01_01__3[[#This Row],[Column2]]/1000</f>
        <v>#VALUE!</v>
      </c>
      <c r="M12" t="e">
        <f>_2020_01_01__3[[#This Row],[Column2]]/1000</f>
        <v>#VALUE!</v>
      </c>
      <c r="N12" t="e">
        <f>_2020_01_01__3[[#This Row],[Column2]]/1000</f>
        <v>#VALUE!</v>
      </c>
      <c r="O12" t="e">
        <f>_2020_01_01__3[[#This Row],[Column2]]/1000</f>
        <v>#VALUE!</v>
      </c>
      <c r="P12" t="e">
        <f>_2020_01_01__3[[#This Row],[Column2]]/1000</f>
        <v>#VALUE!</v>
      </c>
    </row>
    <row r="13" spans="1:16" x14ac:dyDescent="0.2">
      <c r="A13" t="s">
        <v>22</v>
      </c>
      <c r="B13" t="s">
        <v>10</v>
      </c>
      <c r="C13" t="s">
        <v>264</v>
      </c>
      <c r="D13" t="s">
        <v>11</v>
      </c>
      <c r="E13" t="s">
        <v>41</v>
      </c>
      <c r="F13" t="s">
        <v>10</v>
      </c>
      <c r="G13" t="s">
        <v>265</v>
      </c>
      <c r="I13" t="e">
        <f>_2020_01_01__3[[#This Row],[Column2]]/1000</f>
        <v>#VALUE!</v>
      </c>
      <c r="J13" t="e">
        <f>_2020_01_01__3[[#This Row],[Column2]]/1000</f>
        <v>#VALUE!</v>
      </c>
      <c r="K13" t="e">
        <f>_2020_01_01__3[[#This Row],[Column2]]/1000</f>
        <v>#VALUE!</v>
      </c>
      <c r="L13" t="e">
        <f>_2020_01_01__3[[#This Row],[Column2]]/1000</f>
        <v>#VALUE!</v>
      </c>
      <c r="M13" t="e">
        <f>_2020_01_01__3[[#This Row],[Column2]]/1000</f>
        <v>#VALUE!</v>
      </c>
      <c r="N13" t="e">
        <f>_2020_01_01__3[[#This Row],[Column2]]/1000</f>
        <v>#VALUE!</v>
      </c>
      <c r="O13" t="e">
        <f>_2020_01_01__3[[#This Row],[Column2]]/1000</f>
        <v>#VALUE!</v>
      </c>
      <c r="P13" t="e">
        <f>_2020_01_01__3[[#This Row],[Column2]]/1000</f>
        <v>#VALUE!</v>
      </c>
    </row>
    <row r="14" spans="1:16" x14ac:dyDescent="0.2">
      <c r="A14" t="s">
        <v>23</v>
      </c>
      <c r="B14" t="s">
        <v>10</v>
      </c>
      <c r="C14" t="s">
        <v>266</v>
      </c>
      <c r="D14" t="s">
        <v>267</v>
      </c>
      <c r="E14" t="s">
        <v>268</v>
      </c>
      <c r="F14" t="s">
        <v>10</v>
      </c>
      <c r="G14" t="s">
        <v>259</v>
      </c>
      <c r="I14" t="e">
        <f>_2020_01_01__3[[#This Row],[Column2]]/1000</f>
        <v>#VALUE!</v>
      </c>
      <c r="J14" t="e">
        <f>_2020_01_01__3[[#This Row],[Column2]]/1000</f>
        <v>#VALUE!</v>
      </c>
      <c r="K14" t="e">
        <f>_2020_01_01__3[[#This Row],[Column2]]/1000</f>
        <v>#VALUE!</v>
      </c>
      <c r="L14" t="e">
        <f>_2020_01_01__3[[#This Row],[Column2]]/1000</f>
        <v>#VALUE!</v>
      </c>
      <c r="M14" t="e">
        <f>_2020_01_01__3[[#This Row],[Column2]]/1000</f>
        <v>#VALUE!</v>
      </c>
      <c r="N14" t="e">
        <f>_2020_01_01__3[[#This Row],[Column2]]/1000</f>
        <v>#VALUE!</v>
      </c>
      <c r="O14" t="e">
        <f>_2020_01_01__3[[#This Row],[Column2]]/1000</f>
        <v>#VALUE!</v>
      </c>
      <c r="P14" t="e">
        <f>_2020_01_01__3[[#This Row],[Column2]]/1000</f>
        <v>#VALUE!</v>
      </c>
    </row>
    <row r="15" spans="1:16" x14ac:dyDescent="0.2">
      <c r="A15" t="s">
        <v>24</v>
      </c>
      <c r="B15" t="s">
        <v>266</v>
      </c>
      <c r="C15" t="s">
        <v>257</v>
      </c>
      <c r="D15" t="s">
        <v>269</v>
      </c>
      <c r="E15" t="s">
        <v>270</v>
      </c>
      <c r="F15" t="s">
        <v>10</v>
      </c>
      <c r="G15" t="s">
        <v>271</v>
      </c>
      <c r="I15" t="e">
        <f>_2020_01_01__3[[#This Row],[Column2]]/1000</f>
        <v>#VALUE!</v>
      </c>
      <c r="J15" t="e">
        <f>_2020_01_01__3[[#This Row],[Column2]]/1000</f>
        <v>#VALUE!</v>
      </c>
      <c r="K15" t="e">
        <f>_2020_01_01__3[[#This Row],[Column2]]/1000</f>
        <v>#VALUE!</v>
      </c>
      <c r="L15" t="e">
        <f>_2020_01_01__3[[#This Row],[Column2]]/1000</f>
        <v>#VALUE!</v>
      </c>
      <c r="M15" t="e">
        <f>_2020_01_01__3[[#This Row],[Column2]]/1000</f>
        <v>#VALUE!</v>
      </c>
      <c r="N15" t="e">
        <f>_2020_01_01__3[[#This Row],[Column2]]/1000</f>
        <v>#VALUE!</v>
      </c>
      <c r="O15" t="e">
        <f>_2020_01_01__3[[#This Row],[Column2]]/1000</f>
        <v>#VALUE!</v>
      </c>
      <c r="P15" t="e">
        <f>_2020_01_01__3[[#This Row],[Column2]]/1000</f>
        <v>#VALUE!</v>
      </c>
    </row>
    <row r="16" spans="1:16" x14ac:dyDescent="0.2">
      <c r="A16" t="s">
        <v>25</v>
      </c>
      <c r="B16" t="s">
        <v>10</v>
      </c>
      <c r="C16" t="s">
        <v>257</v>
      </c>
      <c r="D16" t="s">
        <v>272</v>
      </c>
      <c r="E16" t="s">
        <v>258</v>
      </c>
      <c r="F16" t="s">
        <v>10</v>
      </c>
      <c r="G16" t="s">
        <v>259</v>
      </c>
      <c r="I16" t="e">
        <f>_2020_01_01__3[[#This Row],[Column2]]/1000</f>
        <v>#VALUE!</v>
      </c>
      <c r="J16" t="e">
        <f>_2020_01_01__3[[#This Row],[Column2]]/1000</f>
        <v>#VALUE!</v>
      </c>
      <c r="K16" t="e">
        <f>_2020_01_01__3[[#This Row],[Column2]]/1000</f>
        <v>#VALUE!</v>
      </c>
      <c r="L16" t="e">
        <f>_2020_01_01__3[[#This Row],[Column2]]/1000</f>
        <v>#VALUE!</v>
      </c>
      <c r="M16" t="e">
        <f>_2020_01_01__3[[#This Row],[Column2]]/1000</f>
        <v>#VALUE!</v>
      </c>
      <c r="N16" t="e">
        <f>_2020_01_01__3[[#This Row],[Column2]]/1000</f>
        <v>#VALUE!</v>
      </c>
      <c r="O16" t="e">
        <f>_2020_01_01__3[[#This Row],[Column2]]/1000</f>
        <v>#VALUE!</v>
      </c>
      <c r="P16" t="e">
        <f>_2020_01_01__3[[#This Row],[Column2]]/1000</f>
        <v>#VALUE!</v>
      </c>
    </row>
    <row r="17" spans="1:16" x14ac:dyDescent="0.2">
      <c r="A17" t="s">
        <v>27</v>
      </c>
      <c r="B17" t="s">
        <v>259</v>
      </c>
      <c r="C17" t="s">
        <v>253</v>
      </c>
      <c r="D17" t="s">
        <v>268</v>
      </c>
      <c r="E17" t="s">
        <v>260</v>
      </c>
      <c r="F17" t="s">
        <v>10</v>
      </c>
      <c r="G17" t="s">
        <v>259</v>
      </c>
      <c r="I17" t="e">
        <f>_2020_01_01__3[[#This Row],[Column2]]/1000</f>
        <v>#VALUE!</v>
      </c>
      <c r="J17" t="e">
        <f>_2020_01_01__3[[#This Row],[Column2]]/1000</f>
        <v>#VALUE!</v>
      </c>
      <c r="K17" t="e">
        <f>_2020_01_01__3[[#This Row],[Column2]]/1000</f>
        <v>#VALUE!</v>
      </c>
      <c r="L17" t="e">
        <f>_2020_01_01__3[[#This Row],[Column2]]/1000</f>
        <v>#VALUE!</v>
      </c>
      <c r="M17" t="e">
        <f>_2020_01_01__3[[#This Row],[Column2]]/1000</f>
        <v>#VALUE!</v>
      </c>
      <c r="N17" t="e">
        <f>_2020_01_01__3[[#This Row],[Column2]]/1000</f>
        <v>#VALUE!</v>
      </c>
      <c r="O17" t="e">
        <f>_2020_01_01__3[[#This Row],[Column2]]/1000</f>
        <v>#VALUE!</v>
      </c>
      <c r="P17" t="e">
        <f>_2020_01_01__3[[#This Row],[Column2]]/1000</f>
        <v>#VALUE!</v>
      </c>
    </row>
    <row r="18" spans="1:16" x14ac:dyDescent="0.2">
      <c r="A18" t="s">
        <v>28</v>
      </c>
      <c r="B18" t="s">
        <v>253</v>
      </c>
      <c r="C18" t="s">
        <v>10</v>
      </c>
      <c r="D18" t="s">
        <v>10</v>
      </c>
      <c r="E18" t="s">
        <v>273</v>
      </c>
      <c r="F18" t="s">
        <v>10</v>
      </c>
      <c r="G18" t="s">
        <v>271</v>
      </c>
      <c r="I18" t="e">
        <f>_2020_01_01__3[[#This Row],[Column2]]/1000</f>
        <v>#VALUE!</v>
      </c>
      <c r="J18" t="e">
        <f>_2020_01_01__3[[#This Row],[Column2]]/1000</f>
        <v>#VALUE!</v>
      </c>
      <c r="K18" t="e">
        <f>_2020_01_01__3[[#This Row],[Column2]]/1000</f>
        <v>#VALUE!</v>
      </c>
      <c r="L18" t="e">
        <f>_2020_01_01__3[[#This Row],[Column2]]/1000</f>
        <v>#VALUE!</v>
      </c>
      <c r="M18" t="e">
        <f>_2020_01_01__3[[#This Row],[Column2]]/1000</f>
        <v>#VALUE!</v>
      </c>
      <c r="N18" t="e">
        <f>_2020_01_01__3[[#This Row],[Column2]]/1000</f>
        <v>#VALUE!</v>
      </c>
      <c r="O18" t="e">
        <f>_2020_01_01__3[[#This Row],[Column2]]/1000</f>
        <v>#VALUE!</v>
      </c>
      <c r="P18" t="e">
        <f>_2020_01_01__3[[#This Row],[Column2]]/1000</f>
        <v>#VALUE!</v>
      </c>
    </row>
    <row r="19" spans="1:16" x14ac:dyDescent="0.2">
      <c r="A19" t="s">
        <v>29</v>
      </c>
      <c r="B19" t="s">
        <v>10</v>
      </c>
      <c r="C19" t="s">
        <v>253</v>
      </c>
      <c r="D19" t="s">
        <v>10</v>
      </c>
      <c r="E19" t="s">
        <v>274</v>
      </c>
      <c r="F19" t="s">
        <v>10</v>
      </c>
      <c r="G19" t="s">
        <v>275</v>
      </c>
      <c r="I19" t="e">
        <f>_2020_01_01__3[[#This Row],[Column2]]/1000</f>
        <v>#VALUE!</v>
      </c>
      <c r="J19" t="e">
        <f>_2020_01_01__3[[#This Row],[Column2]]/1000</f>
        <v>#VALUE!</v>
      </c>
      <c r="K19" t="e">
        <f>_2020_01_01__3[[#This Row],[Column2]]/1000</f>
        <v>#VALUE!</v>
      </c>
      <c r="L19" t="e">
        <f>_2020_01_01__3[[#This Row],[Column2]]/1000</f>
        <v>#VALUE!</v>
      </c>
      <c r="M19" t="e">
        <f>_2020_01_01__3[[#This Row],[Column2]]/1000</f>
        <v>#VALUE!</v>
      </c>
      <c r="N19" t="e">
        <f>_2020_01_01__3[[#This Row],[Column2]]/1000</f>
        <v>#VALUE!</v>
      </c>
      <c r="O19" t="e">
        <f>_2020_01_01__3[[#This Row],[Column2]]/1000</f>
        <v>#VALUE!</v>
      </c>
      <c r="P19" t="e">
        <f>_2020_01_01__3[[#This Row],[Column2]]/1000</f>
        <v>#VALUE!</v>
      </c>
    </row>
    <row r="20" spans="1:16" x14ac:dyDescent="0.2">
      <c r="A20" t="s">
        <v>30</v>
      </c>
      <c r="B20" t="s">
        <v>10</v>
      </c>
      <c r="C20" t="s">
        <v>253</v>
      </c>
      <c r="D20" t="s">
        <v>10</v>
      </c>
      <c r="E20" t="s">
        <v>276</v>
      </c>
      <c r="F20" t="s">
        <v>10</v>
      </c>
      <c r="G20" t="s">
        <v>47</v>
      </c>
      <c r="I20" t="e">
        <f>_2020_01_01__3[[#This Row],[Column2]]/1000</f>
        <v>#VALUE!</v>
      </c>
      <c r="J20" t="e">
        <f>_2020_01_01__3[[#This Row],[Column2]]/1000</f>
        <v>#VALUE!</v>
      </c>
      <c r="K20" t="e">
        <f>_2020_01_01__3[[#This Row],[Column2]]/1000</f>
        <v>#VALUE!</v>
      </c>
      <c r="L20" t="e">
        <f>_2020_01_01__3[[#This Row],[Column2]]/1000</f>
        <v>#VALUE!</v>
      </c>
      <c r="M20" t="e">
        <f>_2020_01_01__3[[#This Row],[Column2]]/1000</f>
        <v>#VALUE!</v>
      </c>
      <c r="N20" t="e">
        <f>_2020_01_01__3[[#This Row],[Column2]]/1000</f>
        <v>#VALUE!</v>
      </c>
      <c r="O20" t="e">
        <f>_2020_01_01__3[[#This Row],[Column2]]/1000</f>
        <v>#VALUE!</v>
      </c>
      <c r="P20" t="e">
        <f>_2020_01_01__3[[#This Row],[Column2]]/1000</f>
        <v>#VALUE!</v>
      </c>
    </row>
    <row r="21" spans="1:16" x14ac:dyDescent="0.2">
      <c r="A21" t="s">
        <v>31</v>
      </c>
      <c r="B21" t="s">
        <v>10</v>
      </c>
      <c r="C21" t="s">
        <v>253</v>
      </c>
      <c r="D21" t="s">
        <v>10</v>
      </c>
      <c r="E21" t="s">
        <v>50</v>
      </c>
      <c r="F21" t="s">
        <v>10</v>
      </c>
      <c r="G21" t="s">
        <v>50</v>
      </c>
      <c r="I21" t="e">
        <f>_2020_01_01__3[[#This Row],[Column2]]/1000</f>
        <v>#VALUE!</v>
      </c>
      <c r="J21" t="e">
        <f>_2020_01_01__3[[#This Row],[Column2]]/1000</f>
        <v>#VALUE!</v>
      </c>
      <c r="K21" t="e">
        <f>_2020_01_01__3[[#This Row],[Column2]]/1000</f>
        <v>#VALUE!</v>
      </c>
      <c r="L21" t="e">
        <f>_2020_01_01__3[[#This Row],[Column2]]/1000</f>
        <v>#VALUE!</v>
      </c>
      <c r="M21" t="e">
        <f>_2020_01_01__3[[#This Row],[Column2]]/1000</f>
        <v>#VALUE!</v>
      </c>
      <c r="N21" t="e">
        <f>_2020_01_01__3[[#This Row],[Column2]]/1000</f>
        <v>#VALUE!</v>
      </c>
      <c r="O21" t="e">
        <f>_2020_01_01__3[[#This Row],[Column2]]/1000</f>
        <v>#VALUE!</v>
      </c>
      <c r="P21" t="e">
        <f>_2020_01_01__3[[#This Row],[Column2]]/1000</f>
        <v>#VALUE!</v>
      </c>
    </row>
    <row r="22" spans="1:16" x14ac:dyDescent="0.2">
      <c r="A22" t="s">
        <v>32</v>
      </c>
      <c r="B22" t="s">
        <v>10</v>
      </c>
      <c r="C22" t="s">
        <v>253</v>
      </c>
      <c r="D22" t="s">
        <v>10</v>
      </c>
      <c r="E22" t="s">
        <v>277</v>
      </c>
      <c r="F22" t="s">
        <v>10</v>
      </c>
      <c r="G22" t="s">
        <v>278</v>
      </c>
      <c r="I22" t="e">
        <f>_2020_01_01__3[[#This Row],[Column2]]/1000</f>
        <v>#VALUE!</v>
      </c>
      <c r="J22" t="e">
        <f>_2020_01_01__3[[#This Row],[Column2]]/1000</f>
        <v>#VALUE!</v>
      </c>
      <c r="K22" t="e">
        <f>_2020_01_01__3[[#This Row],[Column2]]/1000</f>
        <v>#VALUE!</v>
      </c>
      <c r="L22" t="e">
        <f>_2020_01_01__3[[#This Row],[Column2]]/1000</f>
        <v>#VALUE!</v>
      </c>
      <c r="M22" t="e">
        <f>_2020_01_01__3[[#This Row],[Column2]]/1000</f>
        <v>#VALUE!</v>
      </c>
      <c r="N22" t="e">
        <f>_2020_01_01__3[[#This Row],[Column2]]/1000</f>
        <v>#VALUE!</v>
      </c>
      <c r="O22" t="e">
        <f>_2020_01_01__3[[#This Row],[Column2]]/1000</f>
        <v>#VALUE!</v>
      </c>
      <c r="P22" t="e">
        <f>_2020_01_01__3[[#This Row],[Column2]]/1000</f>
        <v>#VALUE!</v>
      </c>
    </row>
    <row r="23" spans="1:16" x14ac:dyDescent="0.2">
      <c r="A23" t="s">
        <v>33</v>
      </c>
      <c r="B23" t="s">
        <v>10</v>
      </c>
      <c r="C23" t="s">
        <v>253</v>
      </c>
      <c r="D23" t="s">
        <v>10</v>
      </c>
      <c r="E23" t="s">
        <v>279</v>
      </c>
      <c r="F23" t="s">
        <v>10</v>
      </c>
      <c r="G23" t="s">
        <v>280</v>
      </c>
      <c r="I23" t="e">
        <f>_2020_01_01__3[[#This Row],[Column2]]/1000</f>
        <v>#VALUE!</v>
      </c>
      <c r="J23" t="e">
        <f>_2020_01_01__3[[#This Row],[Column2]]/1000</f>
        <v>#VALUE!</v>
      </c>
      <c r="K23" t="e">
        <f>_2020_01_01__3[[#This Row],[Column2]]/1000</f>
        <v>#VALUE!</v>
      </c>
      <c r="L23" t="e">
        <f>_2020_01_01__3[[#This Row],[Column2]]/1000</f>
        <v>#VALUE!</v>
      </c>
      <c r="M23" t="e">
        <f>_2020_01_01__3[[#This Row],[Column2]]/1000</f>
        <v>#VALUE!</v>
      </c>
      <c r="N23" t="e">
        <f>_2020_01_01__3[[#This Row],[Column2]]/1000</f>
        <v>#VALUE!</v>
      </c>
      <c r="O23" t="e">
        <f>_2020_01_01__3[[#This Row],[Column2]]/1000</f>
        <v>#VALUE!</v>
      </c>
      <c r="P23" t="e">
        <f>_2020_01_01__3[[#This Row],[Column2]]/1000</f>
        <v>#VALUE!</v>
      </c>
    </row>
    <row r="24" spans="1:16" x14ac:dyDescent="0.2">
      <c r="A24" t="s">
        <v>34</v>
      </c>
      <c r="B24" t="s">
        <v>10</v>
      </c>
      <c r="C24" t="s">
        <v>253</v>
      </c>
      <c r="D24" t="s">
        <v>10</v>
      </c>
      <c r="E24" t="s">
        <v>262</v>
      </c>
      <c r="F24" t="s">
        <v>10</v>
      </c>
      <c r="G24" t="s">
        <v>262</v>
      </c>
      <c r="I24" t="e">
        <f>_2020_01_01__3[[#This Row],[Column2]]/1000</f>
        <v>#VALUE!</v>
      </c>
      <c r="J24" t="e">
        <f>_2020_01_01__3[[#This Row],[Column2]]/1000</f>
        <v>#VALUE!</v>
      </c>
      <c r="K24" t="e">
        <f>_2020_01_01__3[[#This Row],[Column2]]/1000</f>
        <v>#VALUE!</v>
      </c>
      <c r="L24" t="e">
        <f>_2020_01_01__3[[#This Row],[Column2]]/1000</f>
        <v>#VALUE!</v>
      </c>
      <c r="M24" t="e">
        <f>_2020_01_01__3[[#This Row],[Column2]]/1000</f>
        <v>#VALUE!</v>
      </c>
      <c r="N24" t="e">
        <f>_2020_01_01__3[[#This Row],[Column2]]/1000</f>
        <v>#VALUE!</v>
      </c>
      <c r="O24" t="e">
        <f>_2020_01_01__3[[#This Row],[Column2]]/1000</f>
        <v>#VALUE!</v>
      </c>
      <c r="P24" t="e">
        <f>_2020_01_01__3[[#This Row],[Column2]]/1000</f>
        <v>#VALUE!</v>
      </c>
    </row>
    <row r="25" spans="1:16" x14ac:dyDescent="0.2">
      <c r="A25" t="s">
        <v>35</v>
      </c>
      <c r="B25" t="s">
        <v>10</v>
      </c>
      <c r="C25" t="s">
        <v>253</v>
      </c>
      <c r="D25" t="s">
        <v>10</v>
      </c>
      <c r="E25" t="s">
        <v>281</v>
      </c>
      <c r="F25" t="s">
        <v>10</v>
      </c>
      <c r="G25" t="s">
        <v>282</v>
      </c>
      <c r="I25" t="e">
        <f>_2020_01_01__3[[#This Row],[Column2]]/1000</f>
        <v>#VALUE!</v>
      </c>
      <c r="J25" t="e">
        <f>_2020_01_01__3[[#This Row],[Column2]]/1000</f>
        <v>#VALUE!</v>
      </c>
      <c r="K25" t="e">
        <f>_2020_01_01__3[[#This Row],[Column2]]/1000</f>
        <v>#VALUE!</v>
      </c>
      <c r="L25" t="e">
        <f>_2020_01_01__3[[#This Row],[Column2]]/1000</f>
        <v>#VALUE!</v>
      </c>
      <c r="M25" t="e">
        <f>_2020_01_01__3[[#This Row],[Column2]]/1000</f>
        <v>#VALUE!</v>
      </c>
      <c r="N25" t="e">
        <f>_2020_01_01__3[[#This Row],[Column2]]/1000</f>
        <v>#VALUE!</v>
      </c>
      <c r="O25" t="e">
        <f>_2020_01_01__3[[#This Row],[Column2]]/1000</f>
        <v>#VALUE!</v>
      </c>
      <c r="P25" t="e">
        <f>_2020_01_01__3[[#This Row],[Column2]]/1000</f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ED53-7015-4342-BAF2-1FA7796A2ECE}">
  <dimension ref="A1:L29"/>
  <sheetViews>
    <sheetView zoomScale="106" zoomScaleNormal="106" workbookViewId="0">
      <selection activeCell="H21" sqref="H21"/>
    </sheetView>
  </sheetViews>
  <sheetFormatPr baseColWidth="10" defaultRowHeight="16" x14ac:dyDescent="0.2"/>
  <cols>
    <col min="1" max="1" width="19.1640625" bestFit="1" customWidth="1"/>
    <col min="2" max="2" width="13.33203125" bestFit="1" customWidth="1"/>
    <col min="3" max="3" width="11.33203125" bestFit="1" customWidth="1"/>
    <col min="4" max="4" width="14.5" bestFit="1" customWidth="1"/>
    <col min="5" max="5" width="16.6640625" bestFit="1" customWidth="1"/>
    <col min="6" max="6" width="11.33203125" bestFit="1" customWidth="1"/>
    <col min="7" max="7" width="12.83203125" bestFit="1" customWidth="1"/>
    <col min="9" max="9" width="32.33203125" customWidth="1"/>
    <col min="10" max="10" width="26.5" customWidth="1"/>
    <col min="11" max="11" width="18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  <c r="I1" t="s">
        <v>73</v>
      </c>
      <c r="K1" t="s">
        <v>236</v>
      </c>
      <c r="L1" s="2">
        <v>0</v>
      </c>
    </row>
    <row r="2" spans="1:12" x14ac:dyDescent="0.2">
      <c r="A2" t="s">
        <v>5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I2" s="1">
        <v>0</v>
      </c>
      <c r="K2" t="s">
        <v>237</v>
      </c>
      <c r="L2" s="2">
        <v>1</v>
      </c>
    </row>
    <row r="3" spans="1:12" x14ac:dyDescent="0.2">
      <c r="A3" t="s">
        <v>12</v>
      </c>
      <c r="B3" t="s">
        <v>10</v>
      </c>
      <c r="C3" t="s">
        <v>10</v>
      </c>
      <c r="D3" t="s">
        <v>10</v>
      </c>
      <c r="E3" t="s">
        <v>26</v>
      </c>
      <c r="F3" t="s">
        <v>10</v>
      </c>
      <c r="G3" t="s">
        <v>26</v>
      </c>
      <c r="I3" s="1" t="e">
        <f>I2-H1_Wh[[#This Row],[Column2]]+H1_Wh[[#This Row],[Column3]]</f>
        <v>#VALUE!</v>
      </c>
      <c r="K3" t="s">
        <v>238</v>
      </c>
      <c r="L3" s="2">
        <v>0</v>
      </c>
    </row>
    <row r="4" spans="1:12" x14ac:dyDescent="0.2">
      <c r="A4" t="s">
        <v>13</v>
      </c>
      <c r="B4" t="s">
        <v>10</v>
      </c>
      <c r="C4" t="s">
        <v>10</v>
      </c>
      <c r="D4" t="s">
        <v>10</v>
      </c>
      <c r="E4" t="s">
        <v>254</v>
      </c>
      <c r="F4" t="s">
        <v>10</v>
      </c>
      <c r="G4" t="s">
        <v>254</v>
      </c>
      <c r="I4" s="1" t="e">
        <f>I3-H1_Wh[[#This Row],[Column2]]+H1_Wh[[#This Row],[Column3]]</f>
        <v>#VALUE!</v>
      </c>
      <c r="K4" t="s">
        <v>239</v>
      </c>
      <c r="L4" s="2">
        <v>1</v>
      </c>
    </row>
    <row r="5" spans="1:12" x14ac:dyDescent="0.2">
      <c r="A5" t="s">
        <v>14</v>
      </c>
      <c r="B5" t="s">
        <v>10</v>
      </c>
      <c r="C5" t="s">
        <v>10</v>
      </c>
      <c r="D5" t="s">
        <v>10</v>
      </c>
      <c r="E5" t="s">
        <v>256</v>
      </c>
      <c r="F5" t="s">
        <v>10</v>
      </c>
      <c r="G5" t="s">
        <v>256</v>
      </c>
      <c r="I5" s="1" t="e">
        <f>I4-H1_Wh[[#This Row],[Column2]]+H1_Wh[[#This Row],[Column3]]</f>
        <v>#VALUE!</v>
      </c>
    </row>
    <row r="6" spans="1:12" x14ac:dyDescent="0.2">
      <c r="A6" t="s">
        <v>15</v>
      </c>
      <c r="B6" t="s">
        <v>10</v>
      </c>
      <c r="C6" t="s">
        <v>10</v>
      </c>
      <c r="D6" t="s">
        <v>10</v>
      </c>
      <c r="E6" t="s">
        <v>258</v>
      </c>
      <c r="F6" t="s">
        <v>10</v>
      </c>
      <c r="G6" t="s">
        <v>258</v>
      </c>
      <c r="I6" s="1" t="e">
        <f>I5-H1_Wh[[#This Row],[Column2]]+H1_Wh[[#This Row],[Column3]]</f>
        <v>#VALUE!</v>
      </c>
    </row>
    <row r="7" spans="1:12" x14ac:dyDescent="0.2">
      <c r="A7" t="s">
        <v>16</v>
      </c>
      <c r="B7" t="s">
        <v>10</v>
      </c>
      <c r="C7" t="s">
        <v>10</v>
      </c>
      <c r="D7" t="s">
        <v>10</v>
      </c>
      <c r="E7" t="s">
        <v>254</v>
      </c>
      <c r="F7" t="s">
        <v>10</v>
      </c>
      <c r="G7" t="s">
        <v>254</v>
      </c>
      <c r="I7" s="1" t="e">
        <f>I6-H1_Wh[[#This Row],[Column2]]+H1_Wh[[#This Row],[Column3]]</f>
        <v>#VALUE!</v>
      </c>
    </row>
    <row r="8" spans="1:12" x14ac:dyDescent="0.2">
      <c r="A8" t="s">
        <v>17</v>
      </c>
      <c r="B8" t="s">
        <v>10</v>
      </c>
      <c r="C8" t="s">
        <v>10</v>
      </c>
      <c r="D8" t="s">
        <v>10</v>
      </c>
      <c r="E8" t="s">
        <v>258</v>
      </c>
      <c r="F8" t="s">
        <v>10</v>
      </c>
      <c r="G8" t="s">
        <v>258</v>
      </c>
      <c r="I8" s="1" t="e">
        <f>I7-H1_Wh[[#This Row],[Column2]]+H1_Wh[[#This Row],[Column3]]</f>
        <v>#VALUE!</v>
      </c>
    </row>
    <row r="9" spans="1:12" x14ac:dyDescent="0.2">
      <c r="A9" t="s">
        <v>18</v>
      </c>
      <c r="B9" t="s">
        <v>10</v>
      </c>
      <c r="C9" t="s">
        <v>10</v>
      </c>
      <c r="D9" t="s">
        <v>10</v>
      </c>
      <c r="E9" t="s">
        <v>254</v>
      </c>
      <c r="F9" t="s">
        <v>10</v>
      </c>
      <c r="G9" t="s">
        <v>254</v>
      </c>
      <c r="I9" s="1" t="e">
        <f>I8-H1_Wh[[#This Row],[Column2]]+H1_Wh[[#This Row],[Column3]]</f>
        <v>#VALUE!</v>
      </c>
    </row>
    <row r="10" spans="1:12" x14ac:dyDescent="0.2">
      <c r="A10" t="s">
        <v>19</v>
      </c>
      <c r="B10" t="s">
        <v>10</v>
      </c>
      <c r="C10" t="s">
        <v>10</v>
      </c>
      <c r="D10" t="s">
        <v>10</v>
      </c>
      <c r="E10" t="s">
        <v>258</v>
      </c>
      <c r="F10" t="s">
        <v>10</v>
      </c>
      <c r="G10" t="s">
        <v>258</v>
      </c>
      <c r="I10" s="1" t="e">
        <f>I9-H1_Wh[[#This Row],[Column2]]+H1_Wh[[#This Row],[Column3]]</f>
        <v>#VALUE!</v>
      </c>
    </row>
    <row r="11" spans="1:12" x14ac:dyDescent="0.2">
      <c r="A11" t="s">
        <v>20</v>
      </c>
      <c r="B11" t="s">
        <v>10</v>
      </c>
      <c r="C11" t="s">
        <v>10</v>
      </c>
      <c r="D11" t="s">
        <v>259</v>
      </c>
      <c r="E11" t="s">
        <v>260</v>
      </c>
      <c r="F11" t="s">
        <v>10</v>
      </c>
      <c r="G11" t="s">
        <v>254</v>
      </c>
      <c r="I11" s="1" t="e">
        <f>I10-H1_Wh[[#This Row],[Column2]]+H1_Wh[[#This Row],[Column3]]</f>
        <v>#VALUE!</v>
      </c>
    </row>
    <row r="12" spans="1:12" x14ac:dyDescent="0.2">
      <c r="A12" t="s">
        <v>21</v>
      </c>
      <c r="B12" t="s">
        <v>10</v>
      </c>
      <c r="C12" t="s">
        <v>10</v>
      </c>
      <c r="D12" t="s">
        <v>261</v>
      </c>
      <c r="E12" t="s">
        <v>262</v>
      </c>
      <c r="F12" t="s">
        <v>10</v>
      </c>
      <c r="G12" t="s">
        <v>283</v>
      </c>
      <c r="I12" s="1" t="e">
        <f>I11-H1_Wh[[#This Row],[Column2]]+H1_Wh[[#This Row],[Column3]]</f>
        <v>#VALUE!</v>
      </c>
    </row>
    <row r="13" spans="1:12" x14ac:dyDescent="0.2">
      <c r="A13" t="s">
        <v>22</v>
      </c>
      <c r="B13" t="s">
        <v>10</v>
      </c>
      <c r="C13" t="s">
        <v>41</v>
      </c>
      <c r="D13" t="s">
        <v>11</v>
      </c>
      <c r="E13" t="s">
        <v>41</v>
      </c>
      <c r="F13" t="s">
        <v>10</v>
      </c>
      <c r="G13" t="s">
        <v>10</v>
      </c>
      <c r="I13" s="1" t="e">
        <f>I12-H1_Wh[[#This Row],[Column2]]+H1_Wh[[#This Row],[Column3]]</f>
        <v>#VALUE!</v>
      </c>
      <c r="L13" t="e">
        <f>#REF!-#REF!</f>
        <v>#REF!</v>
      </c>
    </row>
    <row r="14" spans="1:12" x14ac:dyDescent="0.2">
      <c r="A14" t="s">
        <v>23</v>
      </c>
      <c r="B14" t="s">
        <v>10</v>
      </c>
      <c r="C14" t="s">
        <v>284</v>
      </c>
      <c r="D14" t="s">
        <v>267</v>
      </c>
      <c r="E14" t="s">
        <v>268</v>
      </c>
      <c r="F14" t="s">
        <v>10</v>
      </c>
      <c r="G14" t="s">
        <v>10</v>
      </c>
      <c r="I14" s="1" t="e">
        <f>I13-H1_Wh[[#This Row],[Column2]]+H1_Wh[[#This Row],[Column3]]</f>
        <v>#VALUE!</v>
      </c>
    </row>
    <row r="15" spans="1:12" x14ac:dyDescent="0.2">
      <c r="A15" t="s">
        <v>24</v>
      </c>
      <c r="B15" t="s">
        <v>10</v>
      </c>
      <c r="C15" t="s">
        <v>10</v>
      </c>
      <c r="D15" t="s">
        <v>269</v>
      </c>
      <c r="E15" t="s">
        <v>270</v>
      </c>
      <c r="F15" t="s">
        <v>10</v>
      </c>
      <c r="G15" t="s">
        <v>275</v>
      </c>
      <c r="I15" s="1" t="e">
        <f>I14-H1_Wh[[#This Row],[Column2]]+H1_Wh[[#This Row],[Column3]]</f>
        <v>#VALUE!</v>
      </c>
    </row>
    <row r="16" spans="1:12" x14ac:dyDescent="0.2">
      <c r="A16" t="s">
        <v>25</v>
      </c>
      <c r="B16" t="s">
        <v>10</v>
      </c>
      <c r="C16" t="s">
        <v>260</v>
      </c>
      <c r="D16" t="s">
        <v>272</v>
      </c>
      <c r="E16" t="s">
        <v>258</v>
      </c>
      <c r="F16" t="s">
        <v>10</v>
      </c>
      <c r="G16" t="s">
        <v>10</v>
      </c>
      <c r="I16" s="1" t="e">
        <f>I15-H1_Wh[[#This Row],[Column2]]+H1_Wh[[#This Row],[Column3]]</f>
        <v>#VALUE!</v>
      </c>
    </row>
    <row r="17" spans="1:9" x14ac:dyDescent="0.2">
      <c r="A17" t="s">
        <v>27</v>
      </c>
      <c r="B17" t="s">
        <v>10</v>
      </c>
      <c r="C17" t="s">
        <v>10</v>
      </c>
      <c r="D17" t="s">
        <v>268</v>
      </c>
      <c r="E17" t="s">
        <v>260</v>
      </c>
      <c r="F17" t="s">
        <v>10</v>
      </c>
      <c r="G17" t="s">
        <v>268</v>
      </c>
      <c r="I17" s="1" t="e">
        <f>I16-H1_Wh[[#This Row],[Column2]]+H1_Wh[[#This Row],[Column3]]</f>
        <v>#VALUE!</v>
      </c>
    </row>
    <row r="18" spans="1:9" x14ac:dyDescent="0.2">
      <c r="A18" t="s">
        <v>28</v>
      </c>
      <c r="B18" t="s">
        <v>10</v>
      </c>
      <c r="C18" t="s">
        <v>10</v>
      </c>
      <c r="D18" t="s">
        <v>10</v>
      </c>
      <c r="E18" t="s">
        <v>273</v>
      </c>
      <c r="F18" t="s">
        <v>10</v>
      </c>
      <c r="G18" t="s">
        <v>273</v>
      </c>
      <c r="I18" s="1" t="e">
        <f>I17-H1_Wh[[#This Row],[Column2]]+H1_Wh[[#This Row],[Column3]]</f>
        <v>#VALUE!</v>
      </c>
    </row>
    <row r="19" spans="1:9" x14ac:dyDescent="0.2">
      <c r="A19" t="s">
        <v>29</v>
      </c>
      <c r="B19" t="s">
        <v>10</v>
      </c>
      <c r="C19" t="s">
        <v>10</v>
      </c>
      <c r="D19" t="s">
        <v>10</v>
      </c>
      <c r="E19" t="s">
        <v>274</v>
      </c>
      <c r="F19" t="s">
        <v>10</v>
      </c>
      <c r="G19" t="s">
        <v>274</v>
      </c>
      <c r="I19" s="1" t="e">
        <f>I18-H1_Wh[[#This Row],[Column2]]+H1_Wh[[#This Row],[Column3]]</f>
        <v>#VALUE!</v>
      </c>
    </row>
    <row r="20" spans="1:9" x14ac:dyDescent="0.2">
      <c r="A20" t="s">
        <v>30</v>
      </c>
      <c r="B20" t="s">
        <v>10</v>
      </c>
      <c r="C20" t="s">
        <v>10</v>
      </c>
      <c r="D20" t="s">
        <v>10</v>
      </c>
      <c r="E20" t="s">
        <v>276</v>
      </c>
      <c r="F20" t="s">
        <v>10</v>
      </c>
      <c r="G20" t="s">
        <v>276</v>
      </c>
      <c r="I20" s="1" t="e">
        <f>I19-H1_Wh[[#This Row],[Column2]]+H1_Wh[[#This Row],[Column3]]</f>
        <v>#VALUE!</v>
      </c>
    </row>
    <row r="21" spans="1:9" x14ac:dyDescent="0.2">
      <c r="A21" t="s">
        <v>31</v>
      </c>
      <c r="B21" t="s">
        <v>10</v>
      </c>
      <c r="C21" t="s">
        <v>10</v>
      </c>
      <c r="D21" t="s">
        <v>10</v>
      </c>
      <c r="E21" t="s">
        <v>50</v>
      </c>
      <c r="F21" t="s">
        <v>10</v>
      </c>
      <c r="G21" t="s">
        <v>50</v>
      </c>
      <c r="I21" s="1" t="e">
        <f>I20-H1_Wh[[#This Row],[Column2]]+H1_Wh[[#This Row],[Column3]]</f>
        <v>#VALUE!</v>
      </c>
    </row>
    <row r="22" spans="1:9" x14ac:dyDescent="0.2">
      <c r="A22" t="s">
        <v>32</v>
      </c>
      <c r="B22" t="s">
        <v>51</v>
      </c>
      <c r="C22" t="s">
        <v>10</v>
      </c>
      <c r="D22" t="s">
        <v>10</v>
      </c>
      <c r="E22" t="s">
        <v>277</v>
      </c>
      <c r="F22" t="s">
        <v>10</v>
      </c>
      <c r="G22" t="s">
        <v>259</v>
      </c>
      <c r="I22" s="1" t="e">
        <f>I21-H1_Wh[[#This Row],[Column2]]+H1_Wh[[#This Row],[Column3]]</f>
        <v>#VALUE!</v>
      </c>
    </row>
    <row r="23" spans="1:9" x14ac:dyDescent="0.2">
      <c r="A23" t="s">
        <v>33</v>
      </c>
      <c r="B23" t="s">
        <v>26</v>
      </c>
      <c r="C23" t="s">
        <v>10</v>
      </c>
      <c r="D23" t="s">
        <v>10</v>
      </c>
      <c r="E23" t="s">
        <v>279</v>
      </c>
      <c r="F23" t="s">
        <v>10</v>
      </c>
      <c r="G23" t="s">
        <v>284</v>
      </c>
      <c r="I23" s="1" t="e">
        <f>I22-H1_Wh[[#This Row],[Column2]]+H1_Wh[[#This Row],[Column3]]</f>
        <v>#VALUE!</v>
      </c>
    </row>
    <row r="24" spans="1:9" x14ac:dyDescent="0.2">
      <c r="A24" t="s">
        <v>34</v>
      </c>
      <c r="B24" t="s">
        <v>10</v>
      </c>
      <c r="C24" t="s">
        <v>10</v>
      </c>
      <c r="D24" t="s">
        <v>10</v>
      </c>
      <c r="E24" t="s">
        <v>262</v>
      </c>
      <c r="F24" t="s">
        <v>10</v>
      </c>
      <c r="G24" t="s">
        <v>262</v>
      </c>
      <c r="I24" s="1" t="e">
        <f>I23-H1_Wh[[#This Row],[Column2]]+H1_Wh[[#This Row],[Column3]]</f>
        <v>#VALUE!</v>
      </c>
    </row>
    <row r="25" spans="1:9" x14ac:dyDescent="0.2">
      <c r="A25" t="s">
        <v>35</v>
      </c>
      <c r="B25" t="s">
        <v>10</v>
      </c>
      <c r="C25" t="s">
        <v>10</v>
      </c>
      <c r="D25" t="s">
        <v>10</v>
      </c>
      <c r="E25" t="s">
        <v>281</v>
      </c>
      <c r="F25" t="s">
        <v>10</v>
      </c>
      <c r="G25" t="s">
        <v>281</v>
      </c>
      <c r="I25" s="1" t="e">
        <f>I24-H1_Wh[[#This Row],[Column2]]+H1_Wh[[#This Row],[Column3]]</f>
        <v>#VALUE!</v>
      </c>
    </row>
    <row r="28" spans="1:9" x14ac:dyDescent="0.2">
      <c r="E28" t="e">
        <f>#REF!-#REF!</f>
        <v>#REF!</v>
      </c>
    </row>
    <row r="29" spans="1:9" x14ac:dyDescent="0.2">
      <c r="B29" t="e">
        <f>SUM(#REF!)</f>
        <v>#REF!</v>
      </c>
      <c r="C29" t="e">
        <f>SUM(#REF!)</f>
        <v>#REF!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4D2F-D2E4-EB4E-B971-459FF64954A6}">
  <dimension ref="A1:L26"/>
  <sheetViews>
    <sheetView tabSelected="1" workbookViewId="0">
      <selection activeCell="B20" sqref="B20"/>
    </sheetView>
  </sheetViews>
  <sheetFormatPr baseColWidth="10" defaultRowHeight="16" x14ac:dyDescent="0.2"/>
  <cols>
    <col min="1" max="1" width="18" bestFit="1" customWidth="1"/>
    <col min="2" max="2" width="13.33203125" bestFit="1" customWidth="1"/>
    <col min="3" max="3" width="11.1640625" bestFit="1" customWidth="1"/>
    <col min="4" max="4" width="14" bestFit="1" customWidth="1"/>
    <col min="5" max="5" width="16" bestFit="1" customWidth="1"/>
    <col min="6" max="6" width="11.33203125" bestFit="1" customWidth="1"/>
    <col min="7" max="7" width="12.6640625" bestFit="1" customWidth="1"/>
    <col min="9" max="9" width="2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  <c r="I1" t="s">
        <v>73</v>
      </c>
      <c r="K1" t="s">
        <v>236</v>
      </c>
      <c r="L1" s="2">
        <v>0</v>
      </c>
    </row>
    <row r="2" spans="1:12" x14ac:dyDescent="0.2">
      <c r="A2" t="s">
        <v>5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I2" s="3">
        <v>0</v>
      </c>
      <c r="K2" t="s">
        <v>237</v>
      </c>
      <c r="L2" s="2">
        <v>1</v>
      </c>
    </row>
    <row r="3" spans="1:12" x14ac:dyDescent="0.2">
      <c r="A3" t="s">
        <v>285</v>
      </c>
      <c r="B3">
        <v>0</v>
      </c>
      <c r="C3">
        <v>0</v>
      </c>
      <c r="D3">
        <v>0</v>
      </c>
      <c r="E3">
        <v>0.06</v>
      </c>
      <c r="F3">
        <v>0</v>
      </c>
      <c r="G3">
        <v>0.06</v>
      </c>
      <c r="I3" s="3">
        <f>I2-H1_Wh_limit[[#This Row],[Column2]]+H1_Wh_limit[[#This Row],[Column3]]</f>
        <v>0</v>
      </c>
      <c r="K3" t="s">
        <v>238</v>
      </c>
      <c r="L3" s="2">
        <v>0</v>
      </c>
    </row>
    <row r="4" spans="1:12" x14ac:dyDescent="0.2">
      <c r="A4" t="s">
        <v>286</v>
      </c>
      <c r="B4">
        <v>0</v>
      </c>
      <c r="C4">
        <v>0</v>
      </c>
      <c r="D4">
        <v>0</v>
      </c>
      <c r="E4">
        <v>0.02</v>
      </c>
      <c r="F4">
        <v>0</v>
      </c>
      <c r="G4">
        <v>0.02</v>
      </c>
      <c r="I4" s="3">
        <f>I3-H1_Wh_limit[[#This Row],[Column2]]+H1_Wh_limit[[#This Row],[Column3]]</f>
        <v>0</v>
      </c>
      <c r="K4" t="s">
        <v>239</v>
      </c>
      <c r="L4" s="2">
        <v>1</v>
      </c>
    </row>
    <row r="5" spans="1:12" x14ac:dyDescent="0.2">
      <c r="A5" t="s">
        <v>287</v>
      </c>
      <c r="B5">
        <v>0</v>
      </c>
      <c r="C5">
        <v>0</v>
      </c>
      <c r="D5">
        <v>0</v>
      </c>
      <c r="E5">
        <v>0.02</v>
      </c>
      <c r="F5">
        <v>0</v>
      </c>
      <c r="G5">
        <v>0.02</v>
      </c>
      <c r="I5" s="3">
        <f>I4-H1_Wh_limit[[#This Row],[Column2]]+H1_Wh_limit[[#This Row],[Column3]]</f>
        <v>0</v>
      </c>
    </row>
    <row r="6" spans="1:12" x14ac:dyDescent="0.2">
      <c r="A6" t="s">
        <v>288</v>
      </c>
      <c r="B6">
        <v>0</v>
      </c>
      <c r="C6">
        <v>0</v>
      </c>
      <c r="D6">
        <v>0</v>
      </c>
      <c r="E6">
        <v>7.0000000000000007E-2</v>
      </c>
      <c r="F6">
        <v>0</v>
      </c>
      <c r="G6">
        <v>7.0000000000000007E-2</v>
      </c>
      <c r="I6" s="3">
        <f>I5-H1_Wh_limit[[#This Row],[Column2]]+H1_Wh_limit[[#This Row],[Column3]]</f>
        <v>0</v>
      </c>
    </row>
    <row r="7" spans="1:12" x14ac:dyDescent="0.2">
      <c r="A7" t="s">
        <v>289</v>
      </c>
      <c r="B7">
        <v>0</v>
      </c>
      <c r="C7">
        <v>0</v>
      </c>
      <c r="D7">
        <v>0</v>
      </c>
      <c r="E7">
        <v>0.02</v>
      </c>
      <c r="F7">
        <v>0</v>
      </c>
      <c r="G7">
        <v>0.02</v>
      </c>
      <c r="I7" s="3">
        <f>I6-H1_Wh_limit[[#This Row],[Column2]]+H1_Wh_limit[[#This Row],[Column3]]</f>
        <v>0</v>
      </c>
    </row>
    <row r="8" spans="1:12" x14ac:dyDescent="0.2">
      <c r="A8" t="s">
        <v>290</v>
      </c>
      <c r="B8">
        <v>0</v>
      </c>
      <c r="C8">
        <v>0</v>
      </c>
      <c r="D8">
        <v>0</v>
      </c>
      <c r="E8">
        <v>0.02</v>
      </c>
      <c r="F8">
        <v>0</v>
      </c>
      <c r="G8">
        <v>0.02</v>
      </c>
      <c r="I8" s="3">
        <f>I7-H1_Wh_limit[[#This Row],[Column2]]+H1_Wh_limit[[#This Row],[Column3]]</f>
        <v>0</v>
      </c>
    </row>
    <row r="9" spans="1:12" x14ac:dyDescent="0.2">
      <c r="A9" t="s">
        <v>291</v>
      </c>
      <c r="B9">
        <v>0</v>
      </c>
      <c r="C9">
        <v>0</v>
      </c>
      <c r="D9">
        <v>0</v>
      </c>
      <c r="E9">
        <v>0.05</v>
      </c>
      <c r="F9">
        <v>0</v>
      </c>
      <c r="G9">
        <v>0.05</v>
      </c>
      <c r="I9" s="3">
        <f>I8-H1_Wh_limit[[#This Row],[Column2]]+H1_Wh_limit[[#This Row],[Column3]]</f>
        <v>0</v>
      </c>
    </row>
    <row r="10" spans="1:12" x14ac:dyDescent="0.2">
      <c r="A10" t="s">
        <v>292</v>
      </c>
      <c r="B10">
        <v>0</v>
      </c>
      <c r="C10">
        <v>0</v>
      </c>
      <c r="D10">
        <v>0</v>
      </c>
      <c r="E10">
        <v>0.02</v>
      </c>
      <c r="F10">
        <v>0</v>
      </c>
      <c r="G10">
        <v>0.02</v>
      </c>
      <c r="I10" s="3">
        <f>I9-H1_Wh_limit[[#This Row],[Column2]]+H1_Wh_limit[[#This Row],[Column3]]</f>
        <v>0</v>
      </c>
    </row>
    <row r="11" spans="1:12" x14ac:dyDescent="0.2">
      <c r="A11" t="s">
        <v>293</v>
      </c>
      <c r="B11">
        <v>0</v>
      </c>
      <c r="C11">
        <v>0</v>
      </c>
      <c r="D11">
        <v>0</v>
      </c>
      <c r="E11">
        <v>0.03</v>
      </c>
      <c r="F11">
        <v>0</v>
      </c>
      <c r="G11">
        <v>0.03</v>
      </c>
      <c r="I11" s="3">
        <f>I10-H1_Wh_limit[[#This Row],[Column2]]+H1_Wh_limit[[#This Row],[Column3]]</f>
        <v>0</v>
      </c>
      <c r="J11">
        <f>H1_Wh_limit[[#This Row],[Column5]]-H1_Wh_limit[[#This Row],[Column4]]</f>
        <v>0.03</v>
      </c>
    </row>
    <row r="12" spans="1:12" x14ac:dyDescent="0.2">
      <c r="A12" t="s">
        <v>294</v>
      </c>
      <c r="B12">
        <v>0</v>
      </c>
      <c r="C12">
        <v>0.01</v>
      </c>
      <c r="D12">
        <v>0.05</v>
      </c>
      <c r="E12">
        <v>0.04</v>
      </c>
      <c r="F12">
        <v>0</v>
      </c>
      <c r="G12">
        <v>0</v>
      </c>
      <c r="I12" s="3">
        <f>I11-H1_Wh_limit[[#This Row],[Column2]]+H1_Wh_limit[[#This Row],[Column3]]</f>
        <v>0.01</v>
      </c>
    </row>
    <row r="13" spans="1:12" x14ac:dyDescent="0.2">
      <c r="A13" t="s">
        <v>295</v>
      </c>
      <c r="B13">
        <v>0</v>
      </c>
      <c r="C13">
        <v>0.09</v>
      </c>
      <c r="D13">
        <v>0.1</v>
      </c>
      <c r="E13">
        <v>0.01</v>
      </c>
      <c r="F13">
        <v>0</v>
      </c>
      <c r="G13">
        <v>0</v>
      </c>
      <c r="I13" s="3">
        <f>I12-H1_Wh_limit[[#This Row],[Column2]]+H1_Wh_limit[[#This Row],[Column3]]</f>
        <v>9.9999999999999992E-2</v>
      </c>
      <c r="L13" t="e">
        <f>#REF!-#REF!</f>
        <v>#REF!</v>
      </c>
    </row>
    <row r="14" spans="1:12" x14ac:dyDescent="0.2">
      <c r="A14" t="s">
        <v>296</v>
      </c>
      <c r="B14">
        <v>0</v>
      </c>
      <c r="C14" s="4">
        <v>0.46</v>
      </c>
      <c r="D14">
        <v>0.49</v>
      </c>
      <c r="E14">
        <v>0.03</v>
      </c>
      <c r="F14">
        <v>0</v>
      </c>
      <c r="G14">
        <v>0</v>
      </c>
      <c r="I14" s="3">
        <f>I13-H1_Wh_limit[[#This Row],[Column2]]+H1_Wh_limit[[#This Row],[Column3]]</f>
        <v>0.56000000000000005</v>
      </c>
    </row>
    <row r="15" spans="1:12" x14ac:dyDescent="0.2">
      <c r="A15" t="s">
        <v>297</v>
      </c>
      <c r="B15">
        <v>0</v>
      </c>
      <c r="C15">
        <v>0.38</v>
      </c>
      <c r="D15">
        <v>0.41</v>
      </c>
      <c r="E15">
        <v>0.03</v>
      </c>
      <c r="F15">
        <v>0</v>
      </c>
      <c r="G15">
        <v>0</v>
      </c>
      <c r="I15" s="3">
        <f>I14-H1_Wh_limit[[#This Row],[Column2]]+H1_Wh_limit[[#This Row],[Column3]]</f>
        <v>0.94000000000000006</v>
      </c>
    </row>
    <row r="16" spans="1:12" x14ac:dyDescent="0.2">
      <c r="A16" t="s">
        <v>298</v>
      </c>
      <c r="B16">
        <v>0</v>
      </c>
      <c r="C16">
        <v>0.22</v>
      </c>
      <c r="D16">
        <v>0.22</v>
      </c>
      <c r="E16">
        <v>0</v>
      </c>
      <c r="F16">
        <v>0</v>
      </c>
      <c r="G16">
        <v>0</v>
      </c>
      <c r="I16" s="3">
        <f>I15-H1_Wh_limit[[#This Row],[Column2]]+H1_Wh_limit[[#This Row],[Column3]]</f>
        <v>1.1600000000000001</v>
      </c>
    </row>
    <row r="17" spans="1:10" x14ac:dyDescent="0.2">
      <c r="A17" t="s">
        <v>299</v>
      </c>
      <c r="B17">
        <v>0</v>
      </c>
      <c r="C17">
        <v>0.3</v>
      </c>
      <c r="D17">
        <v>0.35</v>
      </c>
      <c r="E17">
        <v>0.05</v>
      </c>
      <c r="F17">
        <v>0</v>
      </c>
      <c r="G17">
        <v>0</v>
      </c>
      <c r="I17" s="3">
        <f>I16-H1_Wh_limit[[#This Row],[Column2]]+H1_Wh_limit[[#This Row],[Column3]]</f>
        <v>1.4600000000000002</v>
      </c>
    </row>
    <row r="18" spans="1:10" x14ac:dyDescent="0.2">
      <c r="A18" t="s">
        <v>300</v>
      </c>
      <c r="B18">
        <v>0</v>
      </c>
      <c r="C18">
        <v>0.1</v>
      </c>
      <c r="D18">
        <v>0.11</v>
      </c>
      <c r="E18">
        <v>0.01</v>
      </c>
      <c r="F18">
        <v>0</v>
      </c>
      <c r="G18">
        <v>0</v>
      </c>
      <c r="I18" s="3">
        <f>I17-H1_Wh_limit[[#This Row],[Column2]]+H1_Wh_limit[[#This Row],[Column3]]</f>
        <v>1.5600000000000003</v>
      </c>
    </row>
    <row r="19" spans="1:10" x14ac:dyDescent="0.2">
      <c r="A19" t="s">
        <v>301</v>
      </c>
      <c r="B19">
        <v>0</v>
      </c>
      <c r="C19">
        <v>0.05</v>
      </c>
      <c r="D19">
        <v>0.06</v>
      </c>
      <c r="E19">
        <v>0.01</v>
      </c>
      <c r="F19">
        <v>0</v>
      </c>
      <c r="G19">
        <v>0</v>
      </c>
      <c r="I19" s="3">
        <f>I18-H1_Wh_limit[[#This Row],[Column2]]+H1_Wh_limit[[#This Row],[Column3]]</f>
        <v>1.6100000000000003</v>
      </c>
    </row>
    <row r="20" spans="1:10" x14ac:dyDescent="0.2">
      <c r="A20" t="s">
        <v>302</v>
      </c>
      <c r="B20">
        <v>0.05</v>
      </c>
      <c r="C20">
        <v>0</v>
      </c>
      <c r="D20">
        <v>0</v>
      </c>
      <c r="E20">
        <v>0.05</v>
      </c>
      <c r="F20">
        <v>0</v>
      </c>
      <c r="G20">
        <v>0</v>
      </c>
      <c r="I20" s="3">
        <f>I19-H1_Wh_limit[[#This Row],[Column2]]+H1_Wh_limit[[#This Row],[Column3]]</f>
        <v>1.5600000000000003</v>
      </c>
    </row>
    <row r="21" spans="1:10" x14ac:dyDescent="0.2">
      <c r="A21" t="s">
        <v>303</v>
      </c>
      <c r="B21">
        <v>0.02</v>
      </c>
      <c r="C21">
        <v>0</v>
      </c>
      <c r="D21">
        <v>0</v>
      </c>
      <c r="E21">
        <v>0.02</v>
      </c>
      <c r="F21">
        <v>0</v>
      </c>
      <c r="G21">
        <v>0</v>
      </c>
      <c r="I21" s="3">
        <f>I20-H1_Wh_limit[[#This Row],[Column2]]+H1_Wh_limit[[#This Row],[Column3]]</f>
        <v>1.5400000000000003</v>
      </c>
    </row>
    <row r="22" spans="1:10" x14ac:dyDescent="0.2">
      <c r="A22" t="s">
        <v>304</v>
      </c>
      <c r="B22">
        <v>0.02</v>
      </c>
      <c r="C22">
        <v>0</v>
      </c>
      <c r="D22">
        <v>0</v>
      </c>
      <c r="E22">
        <v>0.02</v>
      </c>
      <c r="F22">
        <v>0</v>
      </c>
      <c r="G22">
        <v>0</v>
      </c>
      <c r="I22" s="3">
        <f>I21-H1_Wh_limit[[#This Row],[Column2]]+H1_Wh_limit[[#This Row],[Column3]]</f>
        <v>1.5200000000000002</v>
      </c>
    </row>
    <row r="23" spans="1:10" x14ac:dyDescent="0.2">
      <c r="A23" t="s">
        <v>305</v>
      </c>
      <c r="B23">
        <v>0.05</v>
      </c>
      <c r="C23">
        <v>0</v>
      </c>
      <c r="D23">
        <v>0</v>
      </c>
      <c r="E23">
        <v>0.05</v>
      </c>
      <c r="F23">
        <v>0</v>
      </c>
      <c r="G23">
        <v>0</v>
      </c>
      <c r="I23" s="3">
        <f>I22-H1_Wh_limit[[#This Row],[Column2]]+H1_Wh_limit[[#This Row],[Column3]]</f>
        <v>1.4700000000000002</v>
      </c>
    </row>
    <row r="24" spans="1:10" x14ac:dyDescent="0.2">
      <c r="A24" t="s">
        <v>306</v>
      </c>
      <c r="B24">
        <v>0.01</v>
      </c>
      <c r="C24">
        <v>0</v>
      </c>
      <c r="D24">
        <v>0</v>
      </c>
      <c r="E24">
        <v>0.01</v>
      </c>
      <c r="F24">
        <v>0</v>
      </c>
      <c r="G24">
        <v>0</v>
      </c>
      <c r="I24" s="3">
        <f>I23-H1_Wh_limit[[#This Row],[Column2]]+H1_Wh_limit[[#This Row],[Column3]]</f>
        <v>1.4600000000000002</v>
      </c>
    </row>
    <row r="25" spans="1:10" x14ac:dyDescent="0.2">
      <c r="A25" t="s">
        <v>307</v>
      </c>
      <c r="B25">
        <v>0.02</v>
      </c>
      <c r="C25">
        <v>0</v>
      </c>
      <c r="D25">
        <v>0</v>
      </c>
      <c r="E25">
        <v>0.02</v>
      </c>
      <c r="F25">
        <v>0</v>
      </c>
      <c r="G25">
        <v>0</v>
      </c>
      <c r="I25" s="3">
        <f>I24-H1_Wh_limit[[#This Row],[Column2]]+H1_Wh_limit[[#This Row],[Column3]]</f>
        <v>1.4400000000000002</v>
      </c>
    </row>
    <row r="26" spans="1:10" x14ac:dyDescent="0.2">
      <c r="A26" t="s">
        <v>308</v>
      </c>
      <c r="B26">
        <v>0.05</v>
      </c>
      <c r="C26">
        <v>0</v>
      </c>
      <c r="D26">
        <v>0</v>
      </c>
      <c r="E26">
        <v>0.05</v>
      </c>
      <c r="F26">
        <v>0</v>
      </c>
      <c r="G26">
        <v>0</v>
      </c>
      <c r="I26" s="3">
        <f>I25-H1_Wh_limit[[#This Row],[Column2]]+H1_Wh_limit[[#This Row],[Column3]]</f>
        <v>1.3900000000000001</v>
      </c>
      <c r="J26">
        <f>I26/10</f>
        <v>0.13900000000000001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0D57-C57E-2740-B4D3-52B74F1A82E3}">
  <dimension ref="A1:G94"/>
  <sheetViews>
    <sheetView workbookViewId="0"/>
  </sheetViews>
  <sheetFormatPr baseColWidth="10" defaultRowHeight="16" x14ac:dyDescent="0.2"/>
  <cols>
    <col min="1" max="1" width="18" bestFit="1" customWidth="1"/>
    <col min="2" max="2" width="12.33203125" bestFit="1" customWidth="1"/>
    <col min="3" max="3" width="11.1640625" bestFit="1" customWidth="1"/>
    <col min="4" max="4" width="13" bestFit="1" customWidth="1"/>
    <col min="5" max="5" width="15" bestFit="1" customWidth="1"/>
    <col min="6" max="6" width="11.1640625" bestFit="1" customWidth="1"/>
    <col min="7" max="7" width="1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</row>
    <row r="2" spans="1:7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44</v>
      </c>
      <c r="G2" t="s">
        <v>45</v>
      </c>
    </row>
    <row r="3" spans="1:7" x14ac:dyDescent="0.2">
      <c r="A3" t="s">
        <v>74</v>
      </c>
      <c r="B3" t="s">
        <v>10</v>
      </c>
      <c r="C3" t="s">
        <v>26</v>
      </c>
      <c r="D3" t="s">
        <v>10</v>
      </c>
      <c r="E3" t="s">
        <v>53</v>
      </c>
      <c r="F3" t="s">
        <v>10</v>
      </c>
      <c r="G3" t="s">
        <v>75</v>
      </c>
    </row>
    <row r="4" spans="1:7" x14ac:dyDescent="0.2">
      <c r="A4" t="s">
        <v>76</v>
      </c>
      <c r="B4" t="s">
        <v>10</v>
      </c>
      <c r="C4" t="s">
        <v>26</v>
      </c>
      <c r="D4" t="s">
        <v>10</v>
      </c>
      <c r="E4" t="s">
        <v>75</v>
      </c>
      <c r="F4" t="s">
        <v>10</v>
      </c>
      <c r="G4" t="s">
        <v>58</v>
      </c>
    </row>
    <row r="5" spans="1:7" x14ac:dyDescent="0.2">
      <c r="A5" t="s">
        <v>77</v>
      </c>
      <c r="B5" t="s">
        <v>10</v>
      </c>
      <c r="C5" t="s">
        <v>26</v>
      </c>
      <c r="D5" t="s">
        <v>10</v>
      </c>
      <c r="E5" t="s">
        <v>78</v>
      </c>
      <c r="F5" t="s">
        <v>10</v>
      </c>
      <c r="G5" t="s">
        <v>79</v>
      </c>
    </row>
    <row r="6" spans="1:7" x14ac:dyDescent="0.2">
      <c r="A6" t="s">
        <v>80</v>
      </c>
      <c r="B6" t="s">
        <v>10</v>
      </c>
      <c r="C6" t="s">
        <v>26</v>
      </c>
      <c r="D6" t="s">
        <v>10</v>
      </c>
      <c r="E6" t="s">
        <v>51</v>
      </c>
      <c r="F6" t="s">
        <v>10</v>
      </c>
      <c r="G6" t="s">
        <v>57</v>
      </c>
    </row>
    <row r="7" spans="1:7" x14ac:dyDescent="0.2">
      <c r="A7" t="s">
        <v>81</v>
      </c>
      <c r="B7" t="s">
        <v>10</v>
      </c>
      <c r="C7" t="s">
        <v>26</v>
      </c>
      <c r="D7" t="s">
        <v>10</v>
      </c>
      <c r="E7" t="s">
        <v>46</v>
      </c>
      <c r="F7" t="s">
        <v>10</v>
      </c>
      <c r="G7" t="s">
        <v>50</v>
      </c>
    </row>
    <row r="8" spans="1:7" x14ac:dyDescent="0.2">
      <c r="A8" t="s">
        <v>82</v>
      </c>
      <c r="B8" t="s">
        <v>10</v>
      </c>
      <c r="C8" t="s">
        <v>26</v>
      </c>
      <c r="D8" t="s">
        <v>10</v>
      </c>
      <c r="E8" t="s">
        <v>46</v>
      </c>
      <c r="F8" t="s">
        <v>10</v>
      </c>
      <c r="G8" t="s">
        <v>51</v>
      </c>
    </row>
    <row r="9" spans="1:7" x14ac:dyDescent="0.2">
      <c r="A9" t="s">
        <v>83</v>
      </c>
      <c r="B9" t="s">
        <v>10</v>
      </c>
      <c r="C9" t="s">
        <v>26</v>
      </c>
      <c r="D9" t="s">
        <v>10</v>
      </c>
      <c r="E9" t="s">
        <v>46</v>
      </c>
      <c r="F9" t="s">
        <v>10</v>
      </c>
      <c r="G9" t="s">
        <v>51</v>
      </c>
    </row>
    <row r="10" spans="1:7" x14ac:dyDescent="0.2">
      <c r="A10" t="s">
        <v>84</v>
      </c>
      <c r="B10" t="s">
        <v>10</v>
      </c>
      <c r="C10" t="s">
        <v>26</v>
      </c>
      <c r="D10" t="s">
        <v>10</v>
      </c>
      <c r="E10" t="s">
        <v>46</v>
      </c>
      <c r="F10" t="s">
        <v>10</v>
      </c>
      <c r="G10" t="s">
        <v>51</v>
      </c>
    </row>
    <row r="11" spans="1:7" x14ac:dyDescent="0.2">
      <c r="A11" t="s">
        <v>85</v>
      </c>
      <c r="B11" t="s">
        <v>10</v>
      </c>
      <c r="C11" t="s">
        <v>26</v>
      </c>
      <c r="D11" t="s">
        <v>10</v>
      </c>
      <c r="E11" t="s">
        <v>63</v>
      </c>
      <c r="F11" t="s">
        <v>10</v>
      </c>
      <c r="G11" t="s">
        <v>86</v>
      </c>
    </row>
    <row r="12" spans="1:7" x14ac:dyDescent="0.2">
      <c r="A12" t="s">
        <v>87</v>
      </c>
      <c r="B12" t="s">
        <v>10</v>
      </c>
      <c r="C12" t="s">
        <v>41</v>
      </c>
      <c r="D12" t="s">
        <v>10</v>
      </c>
      <c r="E12" t="s">
        <v>58</v>
      </c>
      <c r="F12" t="s">
        <v>10</v>
      </c>
      <c r="G12" t="s">
        <v>88</v>
      </c>
    </row>
    <row r="13" spans="1:7" x14ac:dyDescent="0.2">
      <c r="A13" t="s">
        <v>89</v>
      </c>
      <c r="B13" t="s">
        <v>10</v>
      </c>
      <c r="C13" t="s">
        <v>26</v>
      </c>
      <c r="D13" t="s">
        <v>10</v>
      </c>
      <c r="E13" t="s">
        <v>56</v>
      </c>
      <c r="F13" t="s">
        <v>10</v>
      </c>
      <c r="G13" t="s">
        <v>51</v>
      </c>
    </row>
    <row r="14" spans="1:7" x14ac:dyDescent="0.2">
      <c r="A14" t="s">
        <v>90</v>
      </c>
      <c r="B14" t="s">
        <v>10</v>
      </c>
      <c r="C14" t="s">
        <v>26</v>
      </c>
      <c r="D14" t="s">
        <v>10</v>
      </c>
      <c r="E14" t="s">
        <v>56</v>
      </c>
      <c r="F14" t="s">
        <v>10</v>
      </c>
      <c r="G14" t="s">
        <v>51</v>
      </c>
    </row>
    <row r="15" spans="1:7" x14ac:dyDescent="0.2">
      <c r="A15" t="s">
        <v>91</v>
      </c>
      <c r="B15" t="s">
        <v>10</v>
      </c>
      <c r="C15" t="s">
        <v>26</v>
      </c>
      <c r="D15" t="s">
        <v>10</v>
      </c>
      <c r="E15" t="s">
        <v>56</v>
      </c>
      <c r="F15" t="s">
        <v>10</v>
      </c>
      <c r="G15" t="s">
        <v>51</v>
      </c>
    </row>
    <row r="16" spans="1:7" x14ac:dyDescent="0.2">
      <c r="A16" t="s">
        <v>92</v>
      </c>
      <c r="B16" t="s">
        <v>10</v>
      </c>
      <c r="C16" t="s">
        <v>26</v>
      </c>
      <c r="D16" t="s">
        <v>10</v>
      </c>
      <c r="E16" t="s">
        <v>56</v>
      </c>
      <c r="F16" t="s">
        <v>10</v>
      </c>
      <c r="G16" t="s">
        <v>51</v>
      </c>
    </row>
    <row r="17" spans="1:7" x14ac:dyDescent="0.2">
      <c r="A17" t="s">
        <v>93</v>
      </c>
      <c r="B17" t="s">
        <v>10</v>
      </c>
      <c r="C17" t="s">
        <v>26</v>
      </c>
      <c r="D17" t="s">
        <v>10</v>
      </c>
      <c r="E17" t="s">
        <v>57</v>
      </c>
      <c r="F17" t="s">
        <v>10</v>
      </c>
      <c r="G17" t="s">
        <v>49</v>
      </c>
    </row>
    <row r="18" spans="1:7" x14ac:dyDescent="0.2">
      <c r="A18" t="s">
        <v>94</v>
      </c>
      <c r="B18" t="s">
        <v>10</v>
      </c>
      <c r="C18" t="s">
        <v>26</v>
      </c>
      <c r="D18" t="s">
        <v>10</v>
      </c>
      <c r="E18" t="s">
        <v>63</v>
      </c>
      <c r="F18" t="s">
        <v>10</v>
      </c>
      <c r="G18" t="s">
        <v>86</v>
      </c>
    </row>
    <row r="19" spans="1:7" x14ac:dyDescent="0.2">
      <c r="A19" t="s">
        <v>95</v>
      </c>
      <c r="B19" t="s">
        <v>10</v>
      </c>
      <c r="C19" t="s">
        <v>26</v>
      </c>
      <c r="D19" t="s">
        <v>10</v>
      </c>
      <c r="E19" t="s">
        <v>51</v>
      </c>
      <c r="F19" t="s">
        <v>10</v>
      </c>
      <c r="G19" t="s">
        <v>57</v>
      </c>
    </row>
    <row r="20" spans="1:7" x14ac:dyDescent="0.2">
      <c r="A20" t="s">
        <v>96</v>
      </c>
      <c r="B20" t="s">
        <v>10</v>
      </c>
      <c r="C20" t="s">
        <v>26</v>
      </c>
      <c r="D20" t="s">
        <v>10</v>
      </c>
      <c r="E20" t="s">
        <v>56</v>
      </c>
      <c r="F20" t="s">
        <v>10</v>
      </c>
      <c r="G20" t="s">
        <v>51</v>
      </c>
    </row>
    <row r="21" spans="1:7" x14ac:dyDescent="0.2">
      <c r="A21" t="s">
        <v>97</v>
      </c>
      <c r="B21" t="s">
        <v>10</v>
      </c>
      <c r="C21" t="s">
        <v>26</v>
      </c>
      <c r="D21" t="s">
        <v>10</v>
      </c>
      <c r="E21" t="s">
        <v>56</v>
      </c>
      <c r="F21" t="s">
        <v>10</v>
      </c>
      <c r="G21" t="s">
        <v>51</v>
      </c>
    </row>
    <row r="22" spans="1:7" x14ac:dyDescent="0.2">
      <c r="A22" t="s">
        <v>98</v>
      </c>
      <c r="B22" t="s">
        <v>10</v>
      </c>
      <c r="C22" t="s">
        <v>26</v>
      </c>
      <c r="D22" t="s">
        <v>10</v>
      </c>
      <c r="E22" t="s">
        <v>46</v>
      </c>
      <c r="F22" t="s">
        <v>10</v>
      </c>
      <c r="G22" t="s">
        <v>51</v>
      </c>
    </row>
    <row r="23" spans="1:7" x14ac:dyDescent="0.2">
      <c r="A23" t="s">
        <v>99</v>
      </c>
      <c r="B23" t="s">
        <v>10</v>
      </c>
      <c r="C23" t="s">
        <v>26</v>
      </c>
      <c r="D23" t="s">
        <v>10</v>
      </c>
      <c r="E23" t="s">
        <v>46</v>
      </c>
      <c r="F23" t="s">
        <v>10</v>
      </c>
      <c r="G23" t="s">
        <v>51</v>
      </c>
    </row>
    <row r="24" spans="1:7" x14ac:dyDescent="0.2">
      <c r="A24" t="s">
        <v>100</v>
      </c>
      <c r="B24" t="s">
        <v>10</v>
      </c>
      <c r="C24" t="s">
        <v>26</v>
      </c>
      <c r="D24" t="s">
        <v>10</v>
      </c>
      <c r="E24" t="s">
        <v>53</v>
      </c>
      <c r="F24" t="s">
        <v>10</v>
      </c>
      <c r="G24" t="s">
        <v>75</v>
      </c>
    </row>
    <row r="25" spans="1:7" x14ac:dyDescent="0.2">
      <c r="A25" t="s">
        <v>101</v>
      </c>
      <c r="B25" t="s">
        <v>10</v>
      </c>
      <c r="C25" t="s">
        <v>26</v>
      </c>
      <c r="D25" t="s">
        <v>10</v>
      </c>
      <c r="E25" t="s">
        <v>58</v>
      </c>
      <c r="F25" t="s">
        <v>10</v>
      </c>
      <c r="G25" t="s">
        <v>102</v>
      </c>
    </row>
    <row r="26" spans="1:7" x14ac:dyDescent="0.2">
      <c r="A26" t="s">
        <v>103</v>
      </c>
      <c r="B26" t="s">
        <v>10</v>
      </c>
      <c r="C26" t="s">
        <v>26</v>
      </c>
      <c r="D26" t="s">
        <v>10</v>
      </c>
      <c r="E26" t="s">
        <v>56</v>
      </c>
      <c r="F26" t="s">
        <v>10</v>
      </c>
      <c r="G26" t="s">
        <v>51</v>
      </c>
    </row>
    <row r="27" spans="1:7" x14ac:dyDescent="0.2">
      <c r="A27" t="s">
        <v>104</v>
      </c>
      <c r="B27" t="s">
        <v>10</v>
      </c>
      <c r="C27" t="s">
        <v>26</v>
      </c>
      <c r="D27" t="s">
        <v>10</v>
      </c>
      <c r="E27" t="s">
        <v>56</v>
      </c>
      <c r="F27" t="s">
        <v>10</v>
      </c>
      <c r="G27" t="s">
        <v>51</v>
      </c>
    </row>
    <row r="28" spans="1:7" x14ac:dyDescent="0.2">
      <c r="A28" t="s">
        <v>105</v>
      </c>
      <c r="B28" t="s">
        <v>10</v>
      </c>
      <c r="C28" t="s">
        <v>26</v>
      </c>
      <c r="D28" t="s">
        <v>10</v>
      </c>
      <c r="E28" t="s">
        <v>56</v>
      </c>
      <c r="F28" t="s">
        <v>10</v>
      </c>
      <c r="G28" t="s">
        <v>51</v>
      </c>
    </row>
    <row r="29" spans="1:7" x14ac:dyDescent="0.2">
      <c r="A29" t="s">
        <v>106</v>
      </c>
      <c r="B29" t="s">
        <v>10</v>
      </c>
      <c r="C29" t="s">
        <v>26</v>
      </c>
      <c r="D29" t="s">
        <v>10</v>
      </c>
      <c r="E29" t="s">
        <v>56</v>
      </c>
      <c r="F29" t="s">
        <v>10</v>
      </c>
      <c r="G29" t="s">
        <v>51</v>
      </c>
    </row>
    <row r="30" spans="1:7" x14ac:dyDescent="0.2">
      <c r="A30" t="s">
        <v>107</v>
      </c>
      <c r="B30" t="s">
        <v>10</v>
      </c>
      <c r="C30" t="s">
        <v>26</v>
      </c>
      <c r="D30" t="s">
        <v>10</v>
      </c>
      <c r="E30" t="s">
        <v>56</v>
      </c>
      <c r="F30" t="s">
        <v>10</v>
      </c>
      <c r="G30" t="s">
        <v>51</v>
      </c>
    </row>
    <row r="31" spans="1:7" x14ac:dyDescent="0.2">
      <c r="A31" t="s">
        <v>108</v>
      </c>
      <c r="B31" t="s">
        <v>10</v>
      </c>
      <c r="C31" t="s">
        <v>26</v>
      </c>
      <c r="D31" t="s">
        <v>10</v>
      </c>
      <c r="E31" t="s">
        <v>67</v>
      </c>
      <c r="F31" t="s">
        <v>10</v>
      </c>
      <c r="G31" t="s">
        <v>58</v>
      </c>
    </row>
    <row r="32" spans="1:7" x14ac:dyDescent="0.2">
      <c r="A32" t="s">
        <v>109</v>
      </c>
      <c r="B32" t="s">
        <v>10</v>
      </c>
      <c r="C32" t="s">
        <v>26</v>
      </c>
      <c r="D32" t="s">
        <v>10</v>
      </c>
      <c r="E32" t="s">
        <v>75</v>
      </c>
      <c r="F32" t="s">
        <v>10</v>
      </c>
      <c r="G32" t="s">
        <v>67</v>
      </c>
    </row>
    <row r="33" spans="1:7" x14ac:dyDescent="0.2">
      <c r="A33" t="s">
        <v>110</v>
      </c>
      <c r="B33" t="s">
        <v>10</v>
      </c>
      <c r="C33" t="s">
        <v>26</v>
      </c>
      <c r="D33" t="s">
        <v>10</v>
      </c>
      <c r="E33" t="s">
        <v>56</v>
      </c>
      <c r="F33" t="s">
        <v>10</v>
      </c>
      <c r="G33" t="s">
        <v>51</v>
      </c>
    </row>
    <row r="34" spans="1:7" x14ac:dyDescent="0.2">
      <c r="A34" t="s">
        <v>111</v>
      </c>
      <c r="B34" t="s">
        <v>10</v>
      </c>
      <c r="C34" t="s">
        <v>26</v>
      </c>
      <c r="D34" t="s">
        <v>10</v>
      </c>
      <c r="E34" t="s">
        <v>56</v>
      </c>
      <c r="F34" t="s">
        <v>10</v>
      </c>
      <c r="G34" t="s">
        <v>51</v>
      </c>
    </row>
    <row r="35" spans="1:7" x14ac:dyDescent="0.2">
      <c r="A35" t="s">
        <v>112</v>
      </c>
      <c r="B35" t="s">
        <v>10</v>
      </c>
      <c r="C35" t="s">
        <v>26</v>
      </c>
      <c r="D35" t="s">
        <v>10</v>
      </c>
      <c r="E35" t="s">
        <v>46</v>
      </c>
      <c r="F35" t="s">
        <v>10</v>
      </c>
      <c r="G35" t="s">
        <v>51</v>
      </c>
    </row>
    <row r="36" spans="1:7" x14ac:dyDescent="0.2">
      <c r="A36" t="s">
        <v>113</v>
      </c>
      <c r="B36" t="s">
        <v>10</v>
      </c>
      <c r="C36" t="s">
        <v>26</v>
      </c>
      <c r="D36" t="s">
        <v>10</v>
      </c>
      <c r="E36" t="s">
        <v>46</v>
      </c>
      <c r="F36" t="s">
        <v>10</v>
      </c>
      <c r="G36" t="s">
        <v>51</v>
      </c>
    </row>
    <row r="37" spans="1:7" x14ac:dyDescent="0.2">
      <c r="A37" t="s">
        <v>114</v>
      </c>
      <c r="B37" t="s">
        <v>10</v>
      </c>
      <c r="C37" t="s">
        <v>10</v>
      </c>
      <c r="D37" t="s">
        <v>11</v>
      </c>
      <c r="E37" t="s">
        <v>46</v>
      </c>
      <c r="F37" t="s">
        <v>10</v>
      </c>
      <c r="G37" t="s">
        <v>40</v>
      </c>
    </row>
    <row r="38" spans="1:7" x14ac:dyDescent="0.2">
      <c r="A38" t="s">
        <v>115</v>
      </c>
      <c r="B38" t="s">
        <v>10</v>
      </c>
      <c r="C38" t="s">
        <v>10</v>
      </c>
      <c r="D38" t="s">
        <v>50</v>
      </c>
      <c r="E38" t="s">
        <v>88</v>
      </c>
      <c r="F38" t="s">
        <v>10</v>
      </c>
      <c r="G38" t="s">
        <v>49</v>
      </c>
    </row>
    <row r="39" spans="1:7" x14ac:dyDescent="0.2">
      <c r="A39" t="s">
        <v>116</v>
      </c>
      <c r="B39" t="s">
        <v>10</v>
      </c>
      <c r="C39" t="s">
        <v>56</v>
      </c>
      <c r="D39" t="s">
        <v>53</v>
      </c>
      <c r="E39" t="s">
        <v>53</v>
      </c>
      <c r="F39" t="s">
        <v>10</v>
      </c>
      <c r="G39" t="s">
        <v>46</v>
      </c>
    </row>
    <row r="40" spans="1:7" x14ac:dyDescent="0.2">
      <c r="A40" t="s">
        <v>117</v>
      </c>
      <c r="B40" t="s">
        <v>10</v>
      </c>
      <c r="C40" t="s">
        <v>55</v>
      </c>
      <c r="D40" t="s">
        <v>67</v>
      </c>
      <c r="E40" t="s">
        <v>118</v>
      </c>
      <c r="F40" t="s">
        <v>10</v>
      </c>
      <c r="G40" t="s">
        <v>119</v>
      </c>
    </row>
    <row r="41" spans="1:7" x14ac:dyDescent="0.2">
      <c r="A41" t="s">
        <v>120</v>
      </c>
      <c r="B41" t="s">
        <v>10</v>
      </c>
      <c r="C41" t="s">
        <v>10</v>
      </c>
      <c r="D41" t="s">
        <v>53</v>
      </c>
      <c r="E41" t="s">
        <v>121</v>
      </c>
      <c r="F41" t="s">
        <v>10</v>
      </c>
      <c r="G41" t="s">
        <v>52</v>
      </c>
    </row>
    <row r="42" spans="1:7" x14ac:dyDescent="0.2">
      <c r="A42" t="s">
        <v>122</v>
      </c>
      <c r="B42" t="s">
        <v>10</v>
      </c>
      <c r="C42" t="s">
        <v>53</v>
      </c>
      <c r="D42" t="s">
        <v>79</v>
      </c>
      <c r="E42" t="s">
        <v>75</v>
      </c>
      <c r="F42" t="s">
        <v>10</v>
      </c>
      <c r="G42" t="s">
        <v>51</v>
      </c>
    </row>
    <row r="43" spans="1:7" x14ac:dyDescent="0.2">
      <c r="A43" t="s">
        <v>123</v>
      </c>
      <c r="B43" t="s">
        <v>10</v>
      </c>
      <c r="C43" t="s">
        <v>124</v>
      </c>
      <c r="D43" t="s">
        <v>125</v>
      </c>
      <c r="E43" t="s">
        <v>126</v>
      </c>
      <c r="F43" t="s">
        <v>10</v>
      </c>
      <c r="G43" t="s">
        <v>127</v>
      </c>
    </row>
    <row r="44" spans="1:7" x14ac:dyDescent="0.2">
      <c r="A44" t="s">
        <v>128</v>
      </c>
      <c r="B44" t="s">
        <v>10</v>
      </c>
      <c r="C44" t="s">
        <v>88</v>
      </c>
      <c r="D44" t="s">
        <v>61</v>
      </c>
      <c r="E44" t="s">
        <v>58</v>
      </c>
      <c r="F44" t="s">
        <v>10</v>
      </c>
      <c r="G44" t="s">
        <v>48</v>
      </c>
    </row>
    <row r="45" spans="1:7" x14ac:dyDescent="0.2">
      <c r="A45" t="s">
        <v>129</v>
      </c>
      <c r="B45" t="s">
        <v>10</v>
      </c>
      <c r="C45" t="s">
        <v>130</v>
      </c>
      <c r="D45" t="s">
        <v>131</v>
      </c>
      <c r="E45" t="s">
        <v>53</v>
      </c>
      <c r="F45" t="s">
        <v>10</v>
      </c>
      <c r="G45" t="s">
        <v>56</v>
      </c>
    </row>
    <row r="46" spans="1:7" x14ac:dyDescent="0.2">
      <c r="A46" t="s">
        <v>132</v>
      </c>
      <c r="B46" t="s">
        <v>10</v>
      </c>
      <c r="C46" t="s">
        <v>62</v>
      </c>
      <c r="D46" t="s">
        <v>62</v>
      </c>
      <c r="E46" t="s">
        <v>56</v>
      </c>
      <c r="F46" t="s">
        <v>10</v>
      </c>
      <c r="G46" t="s">
        <v>56</v>
      </c>
    </row>
    <row r="47" spans="1:7" x14ac:dyDescent="0.2">
      <c r="A47" t="s">
        <v>133</v>
      </c>
      <c r="B47" t="s">
        <v>10</v>
      </c>
      <c r="C47" t="s">
        <v>134</v>
      </c>
      <c r="D47" t="s">
        <v>135</v>
      </c>
      <c r="E47" t="s">
        <v>48</v>
      </c>
      <c r="F47" t="s">
        <v>10</v>
      </c>
      <c r="G47" t="s">
        <v>11</v>
      </c>
    </row>
    <row r="48" spans="1:7" x14ac:dyDescent="0.2">
      <c r="A48" t="s">
        <v>136</v>
      </c>
      <c r="B48" t="s">
        <v>10</v>
      </c>
      <c r="C48" t="s">
        <v>134</v>
      </c>
      <c r="D48" t="s">
        <v>135</v>
      </c>
      <c r="E48" t="s">
        <v>48</v>
      </c>
      <c r="F48" t="s">
        <v>10</v>
      </c>
      <c r="G48" t="s">
        <v>11</v>
      </c>
    </row>
    <row r="49" spans="1:7" x14ac:dyDescent="0.2">
      <c r="A49" t="s">
        <v>137</v>
      </c>
      <c r="B49" t="s">
        <v>10</v>
      </c>
      <c r="C49" t="s">
        <v>138</v>
      </c>
      <c r="D49" t="s">
        <v>139</v>
      </c>
      <c r="E49" t="s">
        <v>56</v>
      </c>
      <c r="F49" t="s">
        <v>10</v>
      </c>
      <c r="G49" t="s">
        <v>11</v>
      </c>
    </row>
    <row r="50" spans="1:7" x14ac:dyDescent="0.2">
      <c r="A50" t="s">
        <v>140</v>
      </c>
      <c r="B50" t="s">
        <v>10</v>
      </c>
      <c r="C50" t="s">
        <v>141</v>
      </c>
      <c r="D50" t="s">
        <v>142</v>
      </c>
      <c r="E50" t="s">
        <v>48</v>
      </c>
      <c r="F50" t="s">
        <v>10</v>
      </c>
      <c r="G50" t="s">
        <v>11</v>
      </c>
    </row>
    <row r="51" spans="1:7" x14ac:dyDescent="0.2">
      <c r="A51" t="s">
        <v>143</v>
      </c>
      <c r="B51" t="s">
        <v>142</v>
      </c>
      <c r="C51" t="s">
        <v>88</v>
      </c>
      <c r="D51" t="s">
        <v>144</v>
      </c>
      <c r="E51" t="s">
        <v>145</v>
      </c>
      <c r="F51" t="s">
        <v>10</v>
      </c>
      <c r="G51" t="s">
        <v>57</v>
      </c>
    </row>
    <row r="52" spans="1:7" x14ac:dyDescent="0.2">
      <c r="A52" t="s">
        <v>146</v>
      </c>
      <c r="B52" t="s">
        <v>147</v>
      </c>
      <c r="C52" t="s">
        <v>10</v>
      </c>
      <c r="D52" t="s">
        <v>66</v>
      </c>
      <c r="E52" t="s">
        <v>148</v>
      </c>
      <c r="F52" t="s">
        <v>26</v>
      </c>
      <c r="G52" t="s">
        <v>149</v>
      </c>
    </row>
    <row r="53" spans="1:7" x14ac:dyDescent="0.2">
      <c r="A53" t="s">
        <v>150</v>
      </c>
      <c r="B53" t="s">
        <v>151</v>
      </c>
      <c r="C53" t="s">
        <v>56</v>
      </c>
      <c r="D53" t="s">
        <v>68</v>
      </c>
      <c r="E53" t="s">
        <v>152</v>
      </c>
      <c r="F53" t="s">
        <v>10</v>
      </c>
      <c r="G53" t="s">
        <v>56</v>
      </c>
    </row>
    <row r="54" spans="1:7" x14ac:dyDescent="0.2">
      <c r="A54" t="s">
        <v>153</v>
      </c>
      <c r="B54" t="s">
        <v>56</v>
      </c>
      <c r="C54" t="s">
        <v>124</v>
      </c>
      <c r="D54" t="s">
        <v>154</v>
      </c>
      <c r="E54" t="s">
        <v>155</v>
      </c>
      <c r="F54" t="s">
        <v>10</v>
      </c>
      <c r="G54" t="s">
        <v>156</v>
      </c>
    </row>
    <row r="55" spans="1:7" x14ac:dyDescent="0.2">
      <c r="A55" t="s">
        <v>157</v>
      </c>
      <c r="B55" t="s">
        <v>10</v>
      </c>
      <c r="C55" t="s">
        <v>124</v>
      </c>
      <c r="D55" t="s">
        <v>158</v>
      </c>
      <c r="E55" t="s">
        <v>56</v>
      </c>
      <c r="F55" t="s">
        <v>10</v>
      </c>
      <c r="G55" t="s">
        <v>11</v>
      </c>
    </row>
    <row r="56" spans="1:7" x14ac:dyDescent="0.2">
      <c r="A56" t="s">
        <v>159</v>
      </c>
      <c r="B56" t="s">
        <v>10</v>
      </c>
      <c r="C56" t="s">
        <v>50</v>
      </c>
      <c r="D56" t="s">
        <v>124</v>
      </c>
      <c r="E56" t="s">
        <v>88</v>
      </c>
      <c r="F56" t="s">
        <v>10</v>
      </c>
      <c r="G56" t="s">
        <v>41</v>
      </c>
    </row>
    <row r="57" spans="1:7" x14ac:dyDescent="0.2">
      <c r="A57" t="s">
        <v>160</v>
      </c>
      <c r="B57" t="s">
        <v>10</v>
      </c>
      <c r="C57" t="s">
        <v>75</v>
      </c>
      <c r="D57" t="s">
        <v>79</v>
      </c>
      <c r="E57" t="s">
        <v>55</v>
      </c>
      <c r="F57" t="s">
        <v>10</v>
      </c>
      <c r="G57" t="s">
        <v>40</v>
      </c>
    </row>
    <row r="58" spans="1:7" x14ac:dyDescent="0.2">
      <c r="A58" t="s">
        <v>161</v>
      </c>
      <c r="B58" t="s">
        <v>10</v>
      </c>
      <c r="C58" t="s">
        <v>40</v>
      </c>
      <c r="D58" t="s">
        <v>56</v>
      </c>
      <c r="E58" t="s">
        <v>48</v>
      </c>
      <c r="F58" t="s">
        <v>10</v>
      </c>
      <c r="G58" t="s">
        <v>40</v>
      </c>
    </row>
    <row r="59" spans="1:7" x14ac:dyDescent="0.2">
      <c r="A59" t="s">
        <v>162</v>
      </c>
      <c r="B59" t="s">
        <v>10</v>
      </c>
      <c r="C59" t="s">
        <v>41</v>
      </c>
      <c r="D59" t="s">
        <v>48</v>
      </c>
      <c r="E59" t="s">
        <v>56</v>
      </c>
      <c r="F59" t="s">
        <v>10</v>
      </c>
      <c r="G59" t="s">
        <v>41</v>
      </c>
    </row>
    <row r="60" spans="1:7" x14ac:dyDescent="0.2">
      <c r="A60" t="s">
        <v>163</v>
      </c>
      <c r="B60" t="s">
        <v>10</v>
      </c>
      <c r="C60" t="s">
        <v>46</v>
      </c>
      <c r="D60" t="s">
        <v>57</v>
      </c>
      <c r="E60" t="s">
        <v>56</v>
      </c>
      <c r="F60" t="s">
        <v>10</v>
      </c>
      <c r="G60" t="s">
        <v>41</v>
      </c>
    </row>
    <row r="61" spans="1:7" x14ac:dyDescent="0.2">
      <c r="A61" t="s">
        <v>164</v>
      </c>
      <c r="B61" t="s">
        <v>10</v>
      </c>
      <c r="C61" t="s">
        <v>10</v>
      </c>
      <c r="D61" t="s">
        <v>41</v>
      </c>
      <c r="E61" t="s">
        <v>56</v>
      </c>
      <c r="F61" t="s">
        <v>10</v>
      </c>
      <c r="G61" t="s">
        <v>48</v>
      </c>
    </row>
    <row r="62" spans="1:7" x14ac:dyDescent="0.2">
      <c r="A62" t="s">
        <v>165</v>
      </c>
      <c r="B62" t="s">
        <v>53</v>
      </c>
      <c r="C62" t="s">
        <v>10</v>
      </c>
      <c r="D62" t="s">
        <v>41</v>
      </c>
      <c r="E62" t="s">
        <v>63</v>
      </c>
      <c r="F62" t="s">
        <v>10</v>
      </c>
      <c r="G62" t="s">
        <v>48</v>
      </c>
    </row>
    <row r="63" spans="1:7" x14ac:dyDescent="0.2">
      <c r="A63" t="s">
        <v>166</v>
      </c>
      <c r="B63" t="s">
        <v>48</v>
      </c>
      <c r="C63" t="s">
        <v>10</v>
      </c>
      <c r="D63" t="s">
        <v>10</v>
      </c>
      <c r="E63" t="s">
        <v>57</v>
      </c>
      <c r="F63" t="s">
        <v>10</v>
      </c>
      <c r="G63" t="s">
        <v>48</v>
      </c>
    </row>
    <row r="64" spans="1:7" x14ac:dyDescent="0.2">
      <c r="A64" t="s">
        <v>167</v>
      </c>
      <c r="B64" t="s">
        <v>10</v>
      </c>
      <c r="C64" t="s">
        <v>10</v>
      </c>
      <c r="D64" t="s">
        <v>10</v>
      </c>
      <c r="E64" t="s">
        <v>46</v>
      </c>
      <c r="F64" t="s">
        <v>10</v>
      </c>
      <c r="G64" t="s">
        <v>51</v>
      </c>
    </row>
    <row r="65" spans="1:7" x14ac:dyDescent="0.2">
      <c r="A65" t="s">
        <v>168</v>
      </c>
      <c r="B65" t="s">
        <v>10</v>
      </c>
      <c r="C65" t="s">
        <v>26</v>
      </c>
      <c r="D65" t="s">
        <v>10</v>
      </c>
      <c r="E65" t="s">
        <v>169</v>
      </c>
      <c r="F65" t="s">
        <v>10</v>
      </c>
      <c r="G65" t="s">
        <v>170</v>
      </c>
    </row>
    <row r="66" spans="1:7" x14ac:dyDescent="0.2">
      <c r="A66" t="s">
        <v>171</v>
      </c>
      <c r="B66" t="s">
        <v>10</v>
      </c>
      <c r="C66" t="s">
        <v>26</v>
      </c>
      <c r="D66" t="s">
        <v>10</v>
      </c>
      <c r="E66" t="s">
        <v>172</v>
      </c>
      <c r="F66" t="s">
        <v>10</v>
      </c>
      <c r="G66" t="s">
        <v>173</v>
      </c>
    </row>
    <row r="67" spans="1:7" x14ac:dyDescent="0.2">
      <c r="A67" t="s">
        <v>174</v>
      </c>
      <c r="B67" t="s">
        <v>10</v>
      </c>
      <c r="C67" t="s">
        <v>26</v>
      </c>
      <c r="D67" t="s">
        <v>10</v>
      </c>
      <c r="E67" t="s">
        <v>175</v>
      </c>
      <c r="F67" t="s">
        <v>10</v>
      </c>
      <c r="G67" t="s">
        <v>176</v>
      </c>
    </row>
    <row r="68" spans="1:7" x14ac:dyDescent="0.2">
      <c r="A68" t="s">
        <v>177</v>
      </c>
      <c r="B68" t="s">
        <v>10</v>
      </c>
      <c r="C68" t="s">
        <v>26</v>
      </c>
      <c r="D68" t="s">
        <v>10</v>
      </c>
      <c r="E68" t="s">
        <v>178</v>
      </c>
      <c r="F68" t="s">
        <v>10</v>
      </c>
      <c r="G68" t="s">
        <v>179</v>
      </c>
    </row>
    <row r="69" spans="1:7" x14ac:dyDescent="0.2">
      <c r="A69" t="s">
        <v>180</v>
      </c>
      <c r="B69" t="s">
        <v>10</v>
      </c>
      <c r="C69" t="s">
        <v>26</v>
      </c>
      <c r="D69" t="s">
        <v>10</v>
      </c>
      <c r="E69" t="s">
        <v>181</v>
      </c>
      <c r="F69" t="s">
        <v>10</v>
      </c>
      <c r="G69" t="s">
        <v>64</v>
      </c>
    </row>
    <row r="70" spans="1:7" x14ac:dyDescent="0.2">
      <c r="A70" t="s">
        <v>182</v>
      </c>
      <c r="B70" t="s">
        <v>10</v>
      </c>
      <c r="C70" t="s">
        <v>26</v>
      </c>
      <c r="D70" t="s">
        <v>10</v>
      </c>
      <c r="E70" t="s">
        <v>183</v>
      </c>
      <c r="F70" t="s">
        <v>10</v>
      </c>
      <c r="G70" t="s">
        <v>184</v>
      </c>
    </row>
    <row r="71" spans="1:7" x14ac:dyDescent="0.2">
      <c r="A71" t="s">
        <v>185</v>
      </c>
      <c r="B71" t="s">
        <v>10</v>
      </c>
      <c r="C71" t="s">
        <v>26</v>
      </c>
      <c r="D71" t="s">
        <v>10</v>
      </c>
      <c r="E71" t="s">
        <v>186</v>
      </c>
      <c r="F71" t="s">
        <v>10</v>
      </c>
      <c r="G71" t="s">
        <v>187</v>
      </c>
    </row>
    <row r="72" spans="1:7" x14ac:dyDescent="0.2">
      <c r="A72" t="s">
        <v>188</v>
      </c>
      <c r="B72" t="s">
        <v>10</v>
      </c>
      <c r="C72" t="s">
        <v>26</v>
      </c>
      <c r="D72" t="s">
        <v>10</v>
      </c>
      <c r="E72" t="s">
        <v>189</v>
      </c>
      <c r="F72" t="s">
        <v>10</v>
      </c>
      <c r="G72" t="s">
        <v>190</v>
      </c>
    </row>
    <row r="73" spans="1:7" x14ac:dyDescent="0.2">
      <c r="A73" t="s">
        <v>191</v>
      </c>
      <c r="B73" t="s">
        <v>10</v>
      </c>
      <c r="C73" t="s">
        <v>26</v>
      </c>
      <c r="D73" t="s">
        <v>10</v>
      </c>
      <c r="E73" t="s">
        <v>192</v>
      </c>
      <c r="F73" t="s">
        <v>10</v>
      </c>
      <c r="G73" t="s">
        <v>193</v>
      </c>
    </row>
    <row r="74" spans="1:7" x14ac:dyDescent="0.2">
      <c r="A74" t="s">
        <v>194</v>
      </c>
      <c r="B74" t="s">
        <v>10</v>
      </c>
      <c r="C74" t="s">
        <v>26</v>
      </c>
      <c r="D74" t="s">
        <v>10</v>
      </c>
      <c r="E74" t="s">
        <v>195</v>
      </c>
      <c r="F74" t="s">
        <v>10</v>
      </c>
      <c r="G74" t="s">
        <v>71</v>
      </c>
    </row>
    <row r="75" spans="1:7" x14ac:dyDescent="0.2">
      <c r="A75" t="s">
        <v>196</v>
      </c>
      <c r="B75" t="s">
        <v>10</v>
      </c>
      <c r="C75" t="s">
        <v>26</v>
      </c>
      <c r="D75" t="s">
        <v>10</v>
      </c>
      <c r="E75" t="s">
        <v>197</v>
      </c>
      <c r="F75" t="s">
        <v>10</v>
      </c>
      <c r="G75" t="s">
        <v>198</v>
      </c>
    </row>
    <row r="76" spans="1:7" x14ac:dyDescent="0.2">
      <c r="A76" t="s">
        <v>199</v>
      </c>
      <c r="B76" t="s">
        <v>10</v>
      </c>
      <c r="C76" t="s">
        <v>26</v>
      </c>
      <c r="D76" t="s">
        <v>10</v>
      </c>
      <c r="E76" t="s">
        <v>142</v>
      </c>
      <c r="F76" t="s">
        <v>10</v>
      </c>
      <c r="G76" t="s">
        <v>178</v>
      </c>
    </row>
    <row r="77" spans="1:7" x14ac:dyDescent="0.2">
      <c r="A77" t="s">
        <v>200</v>
      </c>
      <c r="B77" t="s">
        <v>10</v>
      </c>
      <c r="C77" t="s">
        <v>26</v>
      </c>
      <c r="D77" t="s">
        <v>10</v>
      </c>
      <c r="E77" t="s">
        <v>201</v>
      </c>
      <c r="F77" t="s">
        <v>10</v>
      </c>
      <c r="G77" t="s">
        <v>202</v>
      </c>
    </row>
    <row r="78" spans="1:7" x14ac:dyDescent="0.2">
      <c r="A78" t="s">
        <v>203</v>
      </c>
      <c r="B78" t="s">
        <v>10</v>
      </c>
      <c r="C78" t="s">
        <v>26</v>
      </c>
      <c r="D78" t="s">
        <v>10</v>
      </c>
      <c r="E78" t="s">
        <v>70</v>
      </c>
      <c r="F78" t="s">
        <v>10</v>
      </c>
      <c r="G78" t="s">
        <v>204</v>
      </c>
    </row>
    <row r="79" spans="1:7" x14ac:dyDescent="0.2">
      <c r="A79" t="s">
        <v>205</v>
      </c>
      <c r="B79" t="s">
        <v>10</v>
      </c>
      <c r="C79" t="s">
        <v>26</v>
      </c>
      <c r="D79" t="s">
        <v>10</v>
      </c>
      <c r="E79" t="s">
        <v>172</v>
      </c>
      <c r="F79" t="s">
        <v>10</v>
      </c>
      <c r="G79" t="s">
        <v>173</v>
      </c>
    </row>
    <row r="80" spans="1:7" x14ac:dyDescent="0.2">
      <c r="A80" t="s">
        <v>206</v>
      </c>
      <c r="B80" t="s">
        <v>10</v>
      </c>
      <c r="C80" t="s">
        <v>26</v>
      </c>
      <c r="D80" t="s">
        <v>10</v>
      </c>
      <c r="E80" t="s">
        <v>178</v>
      </c>
      <c r="F80" t="s">
        <v>10</v>
      </c>
      <c r="G80" t="s">
        <v>207</v>
      </c>
    </row>
    <row r="81" spans="1:7" x14ac:dyDescent="0.2">
      <c r="A81" t="s">
        <v>208</v>
      </c>
      <c r="B81" t="s">
        <v>10</v>
      </c>
      <c r="C81" t="s">
        <v>26</v>
      </c>
      <c r="D81" t="s">
        <v>10</v>
      </c>
      <c r="E81" t="s">
        <v>72</v>
      </c>
      <c r="F81" t="s">
        <v>10</v>
      </c>
      <c r="G81" t="s">
        <v>209</v>
      </c>
    </row>
    <row r="82" spans="1:7" x14ac:dyDescent="0.2">
      <c r="A82" t="s">
        <v>210</v>
      </c>
      <c r="B82" t="s">
        <v>10</v>
      </c>
      <c r="C82" t="s">
        <v>26</v>
      </c>
      <c r="D82" t="s">
        <v>10</v>
      </c>
      <c r="E82" t="s">
        <v>72</v>
      </c>
      <c r="F82" t="s">
        <v>10</v>
      </c>
      <c r="G82" t="s">
        <v>209</v>
      </c>
    </row>
    <row r="83" spans="1:7" x14ac:dyDescent="0.2">
      <c r="A83" t="s">
        <v>211</v>
      </c>
      <c r="B83" t="s">
        <v>10</v>
      </c>
      <c r="C83" t="s">
        <v>26</v>
      </c>
      <c r="D83" t="s">
        <v>10</v>
      </c>
      <c r="E83" t="s">
        <v>72</v>
      </c>
      <c r="F83" t="s">
        <v>10</v>
      </c>
      <c r="G83" t="s">
        <v>209</v>
      </c>
    </row>
    <row r="84" spans="1:7" x14ac:dyDescent="0.2">
      <c r="A84" t="s">
        <v>212</v>
      </c>
      <c r="B84" t="s">
        <v>10</v>
      </c>
      <c r="C84" t="s">
        <v>26</v>
      </c>
      <c r="D84" t="s">
        <v>10</v>
      </c>
      <c r="E84" t="s">
        <v>213</v>
      </c>
      <c r="F84" t="s">
        <v>10</v>
      </c>
      <c r="G84" t="s">
        <v>214</v>
      </c>
    </row>
    <row r="85" spans="1:7" x14ac:dyDescent="0.2">
      <c r="A85" t="s">
        <v>215</v>
      </c>
      <c r="B85" t="s">
        <v>10</v>
      </c>
      <c r="C85" t="s">
        <v>26</v>
      </c>
      <c r="D85" t="s">
        <v>10</v>
      </c>
      <c r="E85" t="s">
        <v>195</v>
      </c>
      <c r="F85" t="s">
        <v>10</v>
      </c>
      <c r="G85" t="s">
        <v>213</v>
      </c>
    </row>
    <row r="86" spans="1:7" x14ac:dyDescent="0.2">
      <c r="A86" t="s">
        <v>216</v>
      </c>
      <c r="B86" t="s">
        <v>10</v>
      </c>
      <c r="C86" t="s">
        <v>26</v>
      </c>
      <c r="D86" t="s">
        <v>10</v>
      </c>
      <c r="E86" t="s">
        <v>69</v>
      </c>
      <c r="F86" t="s">
        <v>10</v>
      </c>
      <c r="G86" t="s">
        <v>217</v>
      </c>
    </row>
    <row r="87" spans="1:7" x14ac:dyDescent="0.2">
      <c r="A87" t="s">
        <v>218</v>
      </c>
      <c r="B87" t="s">
        <v>10</v>
      </c>
      <c r="C87" t="s">
        <v>26</v>
      </c>
      <c r="D87" t="s">
        <v>10</v>
      </c>
      <c r="E87" t="s">
        <v>219</v>
      </c>
      <c r="F87" t="s">
        <v>10</v>
      </c>
      <c r="G87" t="s">
        <v>220</v>
      </c>
    </row>
    <row r="88" spans="1:7" x14ac:dyDescent="0.2">
      <c r="A88" t="s">
        <v>221</v>
      </c>
      <c r="B88" t="s">
        <v>10</v>
      </c>
      <c r="C88" t="s">
        <v>26</v>
      </c>
      <c r="D88" t="s">
        <v>10</v>
      </c>
      <c r="E88" t="s">
        <v>155</v>
      </c>
      <c r="F88" t="s">
        <v>10</v>
      </c>
      <c r="G88" t="s">
        <v>219</v>
      </c>
    </row>
    <row r="89" spans="1:7" x14ac:dyDescent="0.2">
      <c r="A89" t="s">
        <v>222</v>
      </c>
      <c r="B89" t="s">
        <v>10</v>
      </c>
      <c r="C89" t="s">
        <v>26</v>
      </c>
      <c r="D89" t="s">
        <v>10</v>
      </c>
      <c r="E89" t="s">
        <v>223</v>
      </c>
      <c r="F89" t="s">
        <v>10</v>
      </c>
      <c r="G89" t="s">
        <v>224</v>
      </c>
    </row>
    <row r="90" spans="1:7" x14ac:dyDescent="0.2">
      <c r="A90" t="s">
        <v>225</v>
      </c>
      <c r="B90" t="s">
        <v>10</v>
      </c>
      <c r="C90" t="s">
        <v>26</v>
      </c>
      <c r="D90" t="s">
        <v>10</v>
      </c>
      <c r="E90" t="s">
        <v>226</v>
      </c>
      <c r="F90" t="s">
        <v>10</v>
      </c>
      <c r="G90" t="s">
        <v>60</v>
      </c>
    </row>
    <row r="91" spans="1:7" x14ac:dyDescent="0.2">
      <c r="A91" t="s">
        <v>227</v>
      </c>
      <c r="B91" t="s">
        <v>10</v>
      </c>
      <c r="C91" t="s">
        <v>26</v>
      </c>
      <c r="D91" t="s">
        <v>10</v>
      </c>
      <c r="E91" t="s">
        <v>59</v>
      </c>
      <c r="F91" t="s">
        <v>10</v>
      </c>
      <c r="G91" t="s">
        <v>223</v>
      </c>
    </row>
    <row r="92" spans="1:7" x14ac:dyDescent="0.2">
      <c r="A92" t="s">
        <v>228</v>
      </c>
      <c r="B92" t="s">
        <v>10</v>
      </c>
      <c r="C92" t="s">
        <v>26</v>
      </c>
      <c r="D92" t="s">
        <v>10</v>
      </c>
      <c r="E92" t="s">
        <v>226</v>
      </c>
      <c r="F92" t="s">
        <v>10</v>
      </c>
      <c r="G92" t="s">
        <v>60</v>
      </c>
    </row>
    <row r="93" spans="1:7" x14ac:dyDescent="0.2">
      <c r="A93" t="s">
        <v>229</v>
      </c>
      <c r="B93" t="s">
        <v>10</v>
      </c>
      <c r="C93" t="s">
        <v>26</v>
      </c>
      <c r="D93" t="s">
        <v>10</v>
      </c>
      <c r="E93" t="s">
        <v>230</v>
      </c>
      <c r="F93" t="s">
        <v>10</v>
      </c>
      <c r="G93" t="s">
        <v>231</v>
      </c>
    </row>
    <row r="94" spans="1:7" x14ac:dyDescent="0.2">
      <c r="A94" t="s">
        <v>232</v>
      </c>
      <c r="B94" t="s">
        <v>10</v>
      </c>
      <c r="C94" t="s">
        <v>26</v>
      </c>
      <c r="D94" t="s">
        <v>10</v>
      </c>
      <c r="E94" t="s">
        <v>219</v>
      </c>
      <c r="F94" t="s">
        <v>10</v>
      </c>
      <c r="G94" t="s">
        <v>233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3695-4C0F-8A46-88E4-8D4EF4F9692F}">
  <dimension ref="A1:K94"/>
  <sheetViews>
    <sheetView topLeftCell="A18" workbookViewId="0">
      <selection activeCell="D16" sqref="D16"/>
    </sheetView>
  </sheetViews>
  <sheetFormatPr baseColWidth="10" defaultRowHeight="16" x14ac:dyDescent="0.2"/>
  <cols>
    <col min="1" max="1" width="18" bestFit="1" customWidth="1"/>
    <col min="2" max="2" width="12.33203125" bestFit="1" customWidth="1"/>
    <col min="3" max="3" width="11.1640625" bestFit="1" customWidth="1"/>
    <col min="4" max="4" width="13" bestFit="1" customWidth="1"/>
    <col min="5" max="5" width="15" bestFit="1" customWidth="1"/>
    <col min="6" max="6" width="11.1640625" bestFit="1" customWidth="1"/>
    <col min="7" max="7" width="1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43</v>
      </c>
      <c r="H1" t="s">
        <v>234</v>
      </c>
      <c r="I1" t="s">
        <v>73</v>
      </c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44</v>
      </c>
      <c r="G2" t="s">
        <v>45</v>
      </c>
      <c r="I2">
        <v>5000</v>
      </c>
    </row>
    <row r="3" spans="1:11" x14ac:dyDescent="0.2">
      <c r="A3" t="s">
        <v>74</v>
      </c>
      <c r="B3" t="s">
        <v>10</v>
      </c>
      <c r="C3" t="s">
        <v>10</v>
      </c>
      <c r="D3" t="s">
        <v>10</v>
      </c>
      <c r="E3" t="s">
        <v>53</v>
      </c>
      <c r="F3" t="s">
        <v>10</v>
      </c>
      <c r="G3" t="s">
        <v>53</v>
      </c>
      <c r="I3" t="e">
        <f>I2-H1_15min_Wh[[#This Row],[Column2]]+H1_15min_Wh[[#This Row],[Column3]]</f>
        <v>#VALUE!</v>
      </c>
      <c r="K3" t="e">
        <f>H1_15min_Wh[[#This Row],[Column2]]-H1_15min_Wh[[#This Row],[Column3]]-H1_15min_Wh[[#This Row],[Column6]]+H1_15min_Wh[[#This Row],[Column7]]</f>
        <v>#VALUE!</v>
      </c>
    </row>
    <row r="4" spans="1:11" x14ac:dyDescent="0.2">
      <c r="A4" t="s">
        <v>76</v>
      </c>
      <c r="B4" t="s">
        <v>10</v>
      </c>
      <c r="C4" t="s">
        <v>10</v>
      </c>
      <c r="D4" t="s">
        <v>10</v>
      </c>
      <c r="E4" t="s">
        <v>75</v>
      </c>
      <c r="F4" t="s">
        <v>10</v>
      </c>
      <c r="G4" t="s">
        <v>75</v>
      </c>
      <c r="I4" t="e">
        <f>I3-H1_15min_Wh[[#This Row],[Column2]]+H1_15min_Wh[[#This Row],[Column3]]</f>
        <v>#VALUE!</v>
      </c>
      <c r="K4" t="e">
        <f>H1_15min_Wh[[#This Row],[Column2]]-H1_15min_Wh[[#This Row],[Column3]]-H1_15min_Wh[[#This Row],[Column6]]+H1_15min_Wh[[#This Row],[Column7]]</f>
        <v>#VALUE!</v>
      </c>
    </row>
    <row r="5" spans="1:11" x14ac:dyDescent="0.2">
      <c r="A5" t="s">
        <v>77</v>
      </c>
      <c r="B5" t="s">
        <v>10</v>
      </c>
      <c r="C5" t="s">
        <v>10</v>
      </c>
      <c r="D5" t="s">
        <v>10</v>
      </c>
      <c r="E5" t="s">
        <v>78</v>
      </c>
      <c r="F5" t="s">
        <v>10</v>
      </c>
      <c r="G5" t="s">
        <v>78</v>
      </c>
      <c r="I5" t="e">
        <f>I4-H1_15min_Wh[[#This Row],[Column2]]+H1_15min_Wh[[#This Row],[Column3]]</f>
        <v>#VALUE!</v>
      </c>
      <c r="K5" t="e">
        <f>H1_15min_Wh[[#This Row],[Column2]]-H1_15min_Wh[[#This Row],[Column3]]-H1_15min_Wh[[#This Row],[Column6]]+H1_15min_Wh[[#This Row],[Column7]]</f>
        <v>#VALUE!</v>
      </c>
    </row>
    <row r="6" spans="1:11" x14ac:dyDescent="0.2">
      <c r="A6" t="s">
        <v>13</v>
      </c>
      <c r="B6" t="s">
        <v>10</v>
      </c>
      <c r="C6" t="s">
        <v>10</v>
      </c>
      <c r="D6" t="s">
        <v>10</v>
      </c>
      <c r="E6" t="s">
        <v>51</v>
      </c>
      <c r="F6" t="s">
        <v>10</v>
      </c>
      <c r="G6" t="s">
        <v>51</v>
      </c>
      <c r="I6" t="e">
        <f>I5-H1_15min_Wh[[#This Row],[Column2]]+H1_15min_Wh[[#This Row],[Column3]]</f>
        <v>#VALUE!</v>
      </c>
      <c r="K6" t="e">
        <f>H1_15min_Wh[[#This Row],[Column2]]-H1_15min_Wh[[#This Row],[Column3]]-H1_15min_Wh[[#This Row],[Column6]]+H1_15min_Wh[[#This Row],[Column7]]</f>
        <v>#VALUE!</v>
      </c>
    </row>
    <row r="7" spans="1:11" x14ac:dyDescent="0.2">
      <c r="A7" t="s">
        <v>81</v>
      </c>
      <c r="B7" t="s">
        <v>10</v>
      </c>
      <c r="C7" t="s">
        <v>10</v>
      </c>
      <c r="D7" t="s">
        <v>10</v>
      </c>
      <c r="E7" t="s">
        <v>46</v>
      </c>
      <c r="F7" t="s">
        <v>10</v>
      </c>
      <c r="G7" t="s">
        <v>46</v>
      </c>
      <c r="H7">
        <v>35</v>
      </c>
      <c r="I7" t="e">
        <f>I6-H1_15min_Wh[[#This Row],[Column2]]+H1_15min_Wh[[#This Row],[Column3]]</f>
        <v>#VALUE!</v>
      </c>
      <c r="K7" t="e">
        <f>H1_15min_Wh[[#This Row],[Column2]]-H1_15min_Wh[[#This Row],[Column3]]-H1_15min_Wh[[#This Row],[Column6]]+H1_15min_Wh[[#This Row],[Column7]]</f>
        <v>#VALUE!</v>
      </c>
    </row>
    <row r="8" spans="1:11" x14ac:dyDescent="0.2">
      <c r="A8" t="s">
        <v>82</v>
      </c>
      <c r="B8" t="s">
        <v>10</v>
      </c>
      <c r="C8" t="s">
        <v>10</v>
      </c>
      <c r="D8" t="s">
        <v>10</v>
      </c>
      <c r="E8" t="s">
        <v>46</v>
      </c>
      <c r="F8" t="s">
        <v>10</v>
      </c>
      <c r="G8" t="s">
        <v>46</v>
      </c>
      <c r="I8" t="e">
        <f>I7-H1_15min_Wh[[#This Row],[Column2]]+H1_15min_Wh[[#This Row],[Column3]]</f>
        <v>#VALUE!</v>
      </c>
      <c r="K8" t="e">
        <f>H1_15min_Wh[[#This Row],[Column2]]-H1_15min_Wh[[#This Row],[Column3]]-H1_15min_Wh[[#This Row],[Column6]]+H1_15min_Wh[[#This Row],[Column7]]</f>
        <v>#VALUE!</v>
      </c>
    </row>
    <row r="9" spans="1:11" x14ac:dyDescent="0.2">
      <c r="A9" t="s">
        <v>83</v>
      </c>
      <c r="B9" t="s">
        <v>10</v>
      </c>
      <c r="C9" t="s">
        <v>10</v>
      </c>
      <c r="D9" t="s">
        <v>10</v>
      </c>
      <c r="E9" t="s">
        <v>46</v>
      </c>
      <c r="F9" t="s">
        <v>10</v>
      </c>
      <c r="G9" t="s">
        <v>46</v>
      </c>
      <c r="I9" t="e">
        <f>I8-H1_15min_Wh[[#This Row],[Column2]]+H1_15min_Wh[[#This Row],[Column3]]</f>
        <v>#VALUE!</v>
      </c>
      <c r="K9" t="e">
        <f>H1_15min_Wh[[#This Row],[Column2]]-H1_15min_Wh[[#This Row],[Column3]]-H1_15min_Wh[[#This Row],[Column6]]+H1_15min_Wh[[#This Row],[Column7]]</f>
        <v>#VALUE!</v>
      </c>
    </row>
    <row r="10" spans="1:11" x14ac:dyDescent="0.2">
      <c r="A10" t="s">
        <v>14</v>
      </c>
      <c r="B10" t="s">
        <v>10</v>
      </c>
      <c r="C10" t="s">
        <v>10</v>
      </c>
      <c r="D10" t="s">
        <v>10</v>
      </c>
      <c r="E10" t="s">
        <v>46</v>
      </c>
      <c r="F10" t="s">
        <v>10</v>
      </c>
      <c r="G10" t="s">
        <v>46</v>
      </c>
      <c r="I10" t="e">
        <f>I9-H1_15min_Wh[[#This Row],[Column2]]+H1_15min_Wh[[#This Row],[Column3]]</f>
        <v>#VALUE!</v>
      </c>
      <c r="K10" t="e">
        <f>H1_15min_Wh[[#This Row],[Column2]]-H1_15min_Wh[[#This Row],[Column3]]-H1_15min_Wh[[#This Row],[Column6]]+H1_15min_Wh[[#This Row],[Column7]]</f>
        <v>#VALUE!</v>
      </c>
    </row>
    <row r="11" spans="1:11" x14ac:dyDescent="0.2">
      <c r="A11" t="s">
        <v>85</v>
      </c>
      <c r="B11" t="s">
        <v>10</v>
      </c>
      <c r="C11" t="s">
        <v>10</v>
      </c>
      <c r="D11" t="s">
        <v>10</v>
      </c>
      <c r="E11" t="s">
        <v>63</v>
      </c>
      <c r="F11" t="s">
        <v>10</v>
      </c>
      <c r="G11" t="s">
        <v>63</v>
      </c>
      <c r="I11" t="e">
        <f>I10-H1_15min_Wh[[#This Row],[Column2]]+H1_15min_Wh[[#This Row],[Column3]]</f>
        <v>#VALUE!</v>
      </c>
      <c r="K11" t="e">
        <f>H1_15min_Wh[[#This Row],[Column2]]-H1_15min_Wh[[#This Row],[Column3]]-H1_15min_Wh[[#This Row],[Column6]]+H1_15min_Wh[[#This Row],[Column7]]</f>
        <v>#VALUE!</v>
      </c>
    </row>
    <row r="12" spans="1:11" x14ac:dyDescent="0.2">
      <c r="A12" t="s">
        <v>87</v>
      </c>
      <c r="B12" t="s">
        <v>10</v>
      </c>
      <c r="C12" t="s">
        <v>10</v>
      </c>
      <c r="D12" t="s">
        <v>10</v>
      </c>
      <c r="E12" t="s">
        <v>58</v>
      </c>
      <c r="F12" t="s">
        <v>10</v>
      </c>
      <c r="G12" t="s">
        <v>58</v>
      </c>
      <c r="I12" t="e">
        <f>I11-H1_15min_Wh[[#This Row],[Column2]]+H1_15min_Wh[[#This Row],[Column3]]</f>
        <v>#VALUE!</v>
      </c>
      <c r="K12" t="e">
        <f>H1_15min_Wh[[#This Row],[Column2]]-H1_15min_Wh[[#This Row],[Column3]]-H1_15min_Wh[[#This Row],[Column6]]+H1_15min_Wh[[#This Row],[Column7]]</f>
        <v>#VALUE!</v>
      </c>
    </row>
    <row r="13" spans="1:11" x14ac:dyDescent="0.2">
      <c r="A13" t="s">
        <v>89</v>
      </c>
      <c r="B13" t="s">
        <v>10</v>
      </c>
      <c r="C13" t="s">
        <v>10</v>
      </c>
      <c r="D13" t="s">
        <v>10</v>
      </c>
      <c r="E13" t="s">
        <v>56</v>
      </c>
      <c r="F13" t="s">
        <v>10</v>
      </c>
      <c r="G13" t="s">
        <v>56</v>
      </c>
      <c r="I13" t="e">
        <f>I12-H1_15min_Wh[[#This Row],[Column2]]+H1_15min_Wh[[#This Row],[Column3]]</f>
        <v>#VALUE!</v>
      </c>
      <c r="K13" t="e">
        <f>H1_15min_Wh[[#This Row],[Column2]]-H1_15min_Wh[[#This Row],[Column3]]-H1_15min_Wh[[#This Row],[Column6]]+H1_15min_Wh[[#This Row],[Column7]]</f>
        <v>#VALUE!</v>
      </c>
    </row>
    <row r="14" spans="1:11" x14ac:dyDescent="0.2">
      <c r="A14" t="s">
        <v>15</v>
      </c>
      <c r="B14" t="s">
        <v>10</v>
      </c>
      <c r="C14" t="s">
        <v>10</v>
      </c>
      <c r="D14" t="s">
        <v>10</v>
      </c>
      <c r="E14" t="s">
        <v>56</v>
      </c>
      <c r="F14" t="s">
        <v>10</v>
      </c>
      <c r="G14" t="s">
        <v>56</v>
      </c>
      <c r="I14" t="e">
        <f>I13-H1_15min_Wh[[#This Row],[Column2]]+H1_15min_Wh[[#This Row],[Column3]]</f>
        <v>#VALUE!</v>
      </c>
      <c r="K14" t="e">
        <f>H1_15min_Wh[[#This Row],[Column2]]-H1_15min_Wh[[#This Row],[Column3]]-H1_15min_Wh[[#This Row],[Column6]]+H1_15min_Wh[[#This Row],[Column7]]</f>
        <v>#VALUE!</v>
      </c>
    </row>
    <row r="15" spans="1:11" x14ac:dyDescent="0.2">
      <c r="A15" t="s">
        <v>91</v>
      </c>
      <c r="B15" t="s">
        <v>10</v>
      </c>
      <c r="C15" t="s">
        <v>10</v>
      </c>
      <c r="D15" t="s">
        <v>10</v>
      </c>
      <c r="E15" t="s">
        <v>56</v>
      </c>
      <c r="F15" t="s">
        <v>10</v>
      </c>
      <c r="G15" t="s">
        <v>56</v>
      </c>
      <c r="I15" t="e">
        <f>I14-H1_15min_Wh[[#This Row],[Column2]]+H1_15min_Wh[[#This Row],[Column3]]</f>
        <v>#VALUE!</v>
      </c>
      <c r="K15" t="e">
        <f>H1_15min_Wh[[#This Row],[Column2]]-H1_15min_Wh[[#This Row],[Column3]]-H1_15min_Wh[[#This Row],[Column6]]+H1_15min_Wh[[#This Row],[Column7]]</f>
        <v>#VALUE!</v>
      </c>
    </row>
    <row r="16" spans="1:11" x14ac:dyDescent="0.2">
      <c r="A16" t="s">
        <v>92</v>
      </c>
      <c r="B16" t="s">
        <v>10</v>
      </c>
      <c r="C16" t="s">
        <v>10</v>
      </c>
      <c r="D16" t="s">
        <v>10</v>
      </c>
      <c r="E16" t="s">
        <v>56</v>
      </c>
      <c r="F16" t="s">
        <v>10</v>
      </c>
      <c r="G16" t="s">
        <v>56</v>
      </c>
      <c r="I16" t="e">
        <f>I15-H1_15min_Wh[[#This Row],[Column2]]+H1_15min_Wh[[#This Row],[Column3]]</f>
        <v>#VALUE!</v>
      </c>
      <c r="K16" t="e">
        <f>H1_15min_Wh[[#This Row],[Column2]]-H1_15min_Wh[[#This Row],[Column3]]-H1_15min_Wh[[#This Row],[Column6]]+H1_15min_Wh[[#This Row],[Column7]]</f>
        <v>#VALUE!</v>
      </c>
    </row>
    <row r="17" spans="1:11" x14ac:dyDescent="0.2">
      <c r="A17" t="s">
        <v>93</v>
      </c>
      <c r="B17" t="s">
        <v>10</v>
      </c>
      <c r="C17" t="s">
        <v>10</v>
      </c>
      <c r="D17" t="s">
        <v>10</v>
      </c>
      <c r="E17" t="s">
        <v>57</v>
      </c>
      <c r="F17" t="s">
        <v>10</v>
      </c>
      <c r="G17" t="s">
        <v>57</v>
      </c>
      <c r="I17" t="e">
        <f>I16-H1_15min_Wh[[#This Row],[Column2]]+H1_15min_Wh[[#This Row],[Column3]]</f>
        <v>#VALUE!</v>
      </c>
      <c r="K17" t="e">
        <f>H1_15min_Wh[[#This Row],[Column2]]-H1_15min_Wh[[#This Row],[Column3]]-H1_15min_Wh[[#This Row],[Column6]]+H1_15min_Wh[[#This Row],[Column7]]</f>
        <v>#VALUE!</v>
      </c>
    </row>
    <row r="18" spans="1:11" x14ac:dyDescent="0.2">
      <c r="A18" t="s">
        <v>16</v>
      </c>
      <c r="B18" t="s">
        <v>10</v>
      </c>
      <c r="C18" t="s">
        <v>10</v>
      </c>
      <c r="D18" t="s">
        <v>10</v>
      </c>
      <c r="E18" t="s">
        <v>63</v>
      </c>
      <c r="F18" t="s">
        <v>10</v>
      </c>
      <c r="G18" t="s">
        <v>63</v>
      </c>
      <c r="I18" t="e">
        <f>I17-H1_15min_Wh[[#This Row],[Column2]]+H1_15min_Wh[[#This Row],[Column3]]</f>
        <v>#VALUE!</v>
      </c>
      <c r="K18" t="e">
        <f>H1_15min_Wh[[#This Row],[Column2]]-H1_15min_Wh[[#This Row],[Column3]]-H1_15min_Wh[[#This Row],[Column6]]+H1_15min_Wh[[#This Row],[Column7]]</f>
        <v>#VALUE!</v>
      </c>
    </row>
    <row r="19" spans="1:11" x14ac:dyDescent="0.2">
      <c r="A19" t="s">
        <v>95</v>
      </c>
      <c r="B19" t="s">
        <v>10</v>
      </c>
      <c r="C19" t="s">
        <v>10</v>
      </c>
      <c r="D19" t="s">
        <v>10</v>
      </c>
      <c r="E19" t="s">
        <v>51</v>
      </c>
      <c r="F19" t="s">
        <v>10</v>
      </c>
      <c r="G19" t="s">
        <v>51</v>
      </c>
      <c r="I19" t="e">
        <f>I18-H1_15min_Wh[[#This Row],[Column2]]+H1_15min_Wh[[#This Row],[Column3]]</f>
        <v>#VALUE!</v>
      </c>
      <c r="K19" t="e">
        <f>H1_15min_Wh[[#This Row],[Column2]]-H1_15min_Wh[[#This Row],[Column3]]-H1_15min_Wh[[#This Row],[Column6]]+H1_15min_Wh[[#This Row],[Column7]]</f>
        <v>#VALUE!</v>
      </c>
    </row>
    <row r="20" spans="1:11" x14ac:dyDescent="0.2">
      <c r="A20" t="s">
        <v>96</v>
      </c>
      <c r="B20" t="s">
        <v>10</v>
      </c>
      <c r="C20" t="s">
        <v>10</v>
      </c>
      <c r="D20" t="s">
        <v>10</v>
      </c>
      <c r="E20" t="s">
        <v>56</v>
      </c>
      <c r="F20" t="s">
        <v>10</v>
      </c>
      <c r="G20" t="s">
        <v>56</v>
      </c>
      <c r="I20" t="e">
        <f>I19-H1_15min_Wh[[#This Row],[Column2]]+H1_15min_Wh[[#This Row],[Column3]]</f>
        <v>#VALUE!</v>
      </c>
      <c r="K20" t="e">
        <f>H1_15min_Wh[[#This Row],[Column2]]-H1_15min_Wh[[#This Row],[Column3]]-H1_15min_Wh[[#This Row],[Column6]]+H1_15min_Wh[[#This Row],[Column7]]</f>
        <v>#VALUE!</v>
      </c>
    </row>
    <row r="21" spans="1:11" x14ac:dyDescent="0.2">
      <c r="A21" t="s">
        <v>97</v>
      </c>
      <c r="B21" t="s">
        <v>10</v>
      </c>
      <c r="C21" t="s">
        <v>10</v>
      </c>
      <c r="D21" t="s">
        <v>10</v>
      </c>
      <c r="E21" t="s">
        <v>56</v>
      </c>
      <c r="F21" t="s">
        <v>10</v>
      </c>
      <c r="G21" t="s">
        <v>56</v>
      </c>
      <c r="I21" t="e">
        <f>I20-H1_15min_Wh[[#This Row],[Column2]]+H1_15min_Wh[[#This Row],[Column3]]</f>
        <v>#VALUE!</v>
      </c>
      <c r="K21" t="e">
        <f>H1_15min_Wh[[#This Row],[Column2]]-H1_15min_Wh[[#This Row],[Column3]]-H1_15min_Wh[[#This Row],[Column6]]+H1_15min_Wh[[#This Row],[Column7]]</f>
        <v>#VALUE!</v>
      </c>
    </row>
    <row r="22" spans="1:11" x14ac:dyDescent="0.2">
      <c r="A22" t="s">
        <v>17</v>
      </c>
      <c r="B22" t="s">
        <v>10</v>
      </c>
      <c r="C22" t="s">
        <v>10</v>
      </c>
      <c r="D22" t="s">
        <v>10</v>
      </c>
      <c r="E22" t="s">
        <v>46</v>
      </c>
      <c r="F22" t="s">
        <v>10</v>
      </c>
      <c r="G22" t="s">
        <v>46</v>
      </c>
      <c r="I22" t="e">
        <f>I21-H1_15min_Wh[[#This Row],[Column2]]+H1_15min_Wh[[#This Row],[Column3]]</f>
        <v>#VALUE!</v>
      </c>
      <c r="K22" t="e">
        <f>H1_15min_Wh[[#This Row],[Column2]]-H1_15min_Wh[[#This Row],[Column3]]-H1_15min_Wh[[#This Row],[Column6]]+H1_15min_Wh[[#This Row],[Column7]]</f>
        <v>#VALUE!</v>
      </c>
    </row>
    <row r="23" spans="1:11" x14ac:dyDescent="0.2">
      <c r="A23" t="s">
        <v>99</v>
      </c>
      <c r="B23" t="s">
        <v>10</v>
      </c>
      <c r="C23" t="s">
        <v>10</v>
      </c>
      <c r="D23" t="s">
        <v>10</v>
      </c>
      <c r="E23" t="s">
        <v>46</v>
      </c>
      <c r="F23" t="s">
        <v>10</v>
      </c>
      <c r="G23" t="s">
        <v>46</v>
      </c>
      <c r="I23" t="e">
        <f>I22-H1_15min_Wh[[#This Row],[Column2]]+H1_15min_Wh[[#This Row],[Column3]]</f>
        <v>#VALUE!</v>
      </c>
      <c r="K23" t="e">
        <f>H1_15min_Wh[[#This Row],[Column2]]-H1_15min_Wh[[#This Row],[Column3]]-H1_15min_Wh[[#This Row],[Column6]]+H1_15min_Wh[[#This Row],[Column7]]</f>
        <v>#VALUE!</v>
      </c>
    </row>
    <row r="24" spans="1:11" x14ac:dyDescent="0.2">
      <c r="A24" t="s">
        <v>100</v>
      </c>
      <c r="B24" t="s">
        <v>10</v>
      </c>
      <c r="C24" t="s">
        <v>10</v>
      </c>
      <c r="D24" t="s">
        <v>10</v>
      </c>
      <c r="E24" t="s">
        <v>53</v>
      </c>
      <c r="F24" t="s">
        <v>10</v>
      </c>
      <c r="G24" t="s">
        <v>53</v>
      </c>
      <c r="I24" t="e">
        <f>I23-H1_15min_Wh[[#This Row],[Column2]]+H1_15min_Wh[[#This Row],[Column3]]</f>
        <v>#VALUE!</v>
      </c>
      <c r="K24" t="e">
        <f>H1_15min_Wh[[#This Row],[Column2]]-H1_15min_Wh[[#This Row],[Column3]]-H1_15min_Wh[[#This Row],[Column6]]+H1_15min_Wh[[#This Row],[Column7]]</f>
        <v>#VALUE!</v>
      </c>
    </row>
    <row r="25" spans="1:11" x14ac:dyDescent="0.2">
      <c r="A25" t="s">
        <v>101</v>
      </c>
      <c r="B25" t="s">
        <v>10</v>
      </c>
      <c r="C25" t="s">
        <v>10</v>
      </c>
      <c r="D25" t="s">
        <v>10</v>
      </c>
      <c r="E25" t="s">
        <v>58</v>
      </c>
      <c r="F25" t="s">
        <v>10</v>
      </c>
      <c r="G25" t="s">
        <v>58</v>
      </c>
      <c r="I25" t="e">
        <f>I24-H1_15min_Wh[[#This Row],[Column2]]+H1_15min_Wh[[#This Row],[Column3]]</f>
        <v>#VALUE!</v>
      </c>
      <c r="K25" t="e">
        <f>H1_15min_Wh[[#This Row],[Column2]]-H1_15min_Wh[[#This Row],[Column3]]-H1_15min_Wh[[#This Row],[Column6]]+H1_15min_Wh[[#This Row],[Column7]]</f>
        <v>#VALUE!</v>
      </c>
    </row>
    <row r="26" spans="1:11" x14ac:dyDescent="0.2">
      <c r="A26" t="s">
        <v>18</v>
      </c>
      <c r="B26" t="s">
        <v>10</v>
      </c>
      <c r="C26" t="s">
        <v>10</v>
      </c>
      <c r="D26" t="s">
        <v>10</v>
      </c>
      <c r="E26" t="s">
        <v>56</v>
      </c>
      <c r="F26" t="s">
        <v>10</v>
      </c>
      <c r="G26" t="s">
        <v>56</v>
      </c>
      <c r="I26" t="e">
        <f>I25-H1_15min_Wh[[#This Row],[Column2]]+H1_15min_Wh[[#This Row],[Column3]]</f>
        <v>#VALUE!</v>
      </c>
      <c r="K26" t="e">
        <f>H1_15min_Wh[[#This Row],[Column2]]-H1_15min_Wh[[#This Row],[Column3]]-H1_15min_Wh[[#This Row],[Column6]]+H1_15min_Wh[[#This Row],[Column7]]</f>
        <v>#VALUE!</v>
      </c>
    </row>
    <row r="27" spans="1:11" x14ac:dyDescent="0.2">
      <c r="A27" t="s">
        <v>104</v>
      </c>
      <c r="B27" t="s">
        <v>10</v>
      </c>
      <c r="C27" t="s">
        <v>10</v>
      </c>
      <c r="D27" t="s">
        <v>10</v>
      </c>
      <c r="E27" t="s">
        <v>56</v>
      </c>
      <c r="F27" t="s">
        <v>10</v>
      </c>
      <c r="G27" t="s">
        <v>56</v>
      </c>
      <c r="I27" t="e">
        <f>I26-H1_15min_Wh[[#This Row],[Column2]]+H1_15min_Wh[[#This Row],[Column3]]</f>
        <v>#VALUE!</v>
      </c>
      <c r="K27" t="e">
        <f>H1_15min_Wh[[#This Row],[Column2]]-H1_15min_Wh[[#This Row],[Column3]]-H1_15min_Wh[[#This Row],[Column6]]+H1_15min_Wh[[#This Row],[Column7]]</f>
        <v>#VALUE!</v>
      </c>
    </row>
    <row r="28" spans="1:11" x14ac:dyDescent="0.2">
      <c r="A28" t="s">
        <v>105</v>
      </c>
      <c r="B28" t="s">
        <v>10</v>
      </c>
      <c r="C28" t="s">
        <v>10</v>
      </c>
      <c r="D28" t="s">
        <v>10</v>
      </c>
      <c r="E28" t="s">
        <v>56</v>
      </c>
      <c r="F28" t="s">
        <v>10</v>
      </c>
      <c r="G28" t="s">
        <v>56</v>
      </c>
      <c r="I28" t="e">
        <f>I27-H1_15min_Wh[[#This Row],[Column2]]+H1_15min_Wh[[#This Row],[Column3]]</f>
        <v>#VALUE!</v>
      </c>
      <c r="K28" t="e">
        <f>H1_15min_Wh[[#This Row],[Column2]]-H1_15min_Wh[[#This Row],[Column3]]-H1_15min_Wh[[#This Row],[Column6]]+H1_15min_Wh[[#This Row],[Column7]]</f>
        <v>#VALUE!</v>
      </c>
    </row>
    <row r="29" spans="1:11" x14ac:dyDescent="0.2">
      <c r="A29" t="s">
        <v>106</v>
      </c>
      <c r="B29" t="s">
        <v>10</v>
      </c>
      <c r="C29" t="s">
        <v>10</v>
      </c>
      <c r="D29" t="s">
        <v>10</v>
      </c>
      <c r="E29" t="s">
        <v>56</v>
      </c>
      <c r="F29" t="s">
        <v>10</v>
      </c>
      <c r="G29" t="s">
        <v>56</v>
      </c>
      <c r="I29" t="e">
        <f>I28-H1_15min_Wh[[#This Row],[Column2]]+H1_15min_Wh[[#This Row],[Column3]]</f>
        <v>#VALUE!</v>
      </c>
      <c r="K29" t="e">
        <f>H1_15min_Wh[[#This Row],[Column2]]-H1_15min_Wh[[#This Row],[Column3]]-H1_15min_Wh[[#This Row],[Column6]]+H1_15min_Wh[[#This Row],[Column7]]</f>
        <v>#VALUE!</v>
      </c>
    </row>
    <row r="30" spans="1:11" x14ac:dyDescent="0.2">
      <c r="A30" t="s">
        <v>19</v>
      </c>
      <c r="B30" t="s">
        <v>10</v>
      </c>
      <c r="C30" t="s">
        <v>10</v>
      </c>
      <c r="D30" t="s">
        <v>10</v>
      </c>
      <c r="E30" t="s">
        <v>56</v>
      </c>
      <c r="F30" t="s">
        <v>10</v>
      </c>
      <c r="G30" t="s">
        <v>56</v>
      </c>
      <c r="I30" t="e">
        <f>I29-H1_15min_Wh[[#This Row],[Column2]]+H1_15min_Wh[[#This Row],[Column3]]</f>
        <v>#VALUE!</v>
      </c>
      <c r="K30" t="e">
        <f>H1_15min_Wh[[#This Row],[Column2]]-H1_15min_Wh[[#This Row],[Column3]]-H1_15min_Wh[[#This Row],[Column6]]+H1_15min_Wh[[#This Row],[Column7]]</f>
        <v>#VALUE!</v>
      </c>
    </row>
    <row r="31" spans="1:11" x14ac:dyDescent="0.2">
      <c r="A31" t="s">
        <v>108</v>
      </c>
      <c r="B31" t="s">
        <v>10</v>
      </c>
      <c r="C31" t="s">
        <v>10</v>
      </c>
      <c r="D31" t="s">
        <v>10</v>
      </c>
      <c r="E31" t="s">
        <v>67</v>
      </c>
      <c r="F31" t="s">
        <v>10</v>
      </c>
      <c r="G31" t="s">
        <v>67</v>
      </c>
      <c r="I31" t="e">
        <f>I30-H1_15min_Wh[[#This Row],[Column2]]+H1_15min_Wh[[#This Row],[Column3]]</f>
        <v>#VALUE!</v>
      </c>
      <c r="K31" t="e">
        <f>H1_15min_Wh[[#This Row],[Column2]]-H1_15min_Wh[[#This Row],[Column3]]-H1_15min_Wh[[#This Row],[Column6]]+H1_15min_Wh[[#This Row],[Column7]]</f>
        <v>#VALUE!</v>
      </c>
    </row>
    <row r="32" spans="1:11" x14ac:dyDescent="0.2">
      <c r="A32" t="s">
        <v>109</v>
      </c>
      <c r="B32" t="s">
        <v>10</v>
      </c>
      <c r="C32" t="s">
        <v>10</v>
      </c>
      <c r="D32" t="s">
        <v>10</v>
      </c>
      <c r="E32" t="s">
        <v>75</v>
      </c>
      <c r="F32" t="s">
        <v>10</v>
      </c>
      <c r="G32" t="s">
        <v>75</v>
      </c>
      <c r="I32" t="e">
        <f>I31-H1_15min_Wh[[#This Row],[Column2]]+H1_15min_Wh[[#This Row],[Column3]]</f>
        <v>#VALUE!</v>
      </c>
      <c r="K32" t="e">
        <f>H1_15min_Wh[[#This Row],[Column2]]-H1_15min_Wh[[#This Row],[Column3]]-H1_15min_Wh[[#This Row],[Column6]]+H1_15min_Wh[[#This Row],[Column7]]</f>
        <v>#VALUE!</v>
      </c>
    </row>
    <row r="33" spans="1:11" x14ac:dyDescent="0.2">
      <c r="A33" t="s">
        <v>110</v>
      </c>
      <c r="B33" t="s">
        <v>10</v>
      </c>
      <c r="C33" t="s">
        <v>10</v>
      </c>
      <c r="D33" t="s">
        <v>10</v>
      </c>
      <c r="E33" t="s">
        <v>56</v>
      </c>
      <c r="F33" t="s">
        <v>10</v>
      </c>
      <c r="G33" t="s">
        <v>56</v>
      </c>
      <c r="I33" t="e">
        <f>I32-H1_15min_Wh[[#This Row],[Column2]]+H1_15min_Wh[[#This Row],[Column3]]</f>
        <v>#VALUE!</v>
      </c>
      <c r="K33" t="e">
        <f>H1_15min_Wh[[#This Row],[Column2]]-H1_15min_Wh[[#This Row],[Column3]]-H1_15min_Wh[[#This Row],[Column6]]+H1_15min_Wh[[#This Row],[Column7]]</f>
        <v>#VALUE!</v>
      </c>
    </row>
    <row r="34" spans="1:11" x14ac:dyDescent="0.2">
      <c r="A34" t="s">
        <v>20</v>
      </c>
      <c r="B34" t="s">
        <v>10</v>
      </c>
      <c r="C34" t="s">
        <v>10</v>
      </c>
      <c r="D34" t="s">
        <v>10</v>
      </c>
      <c r="E34" t="s">
        <v>56</v>
      </c>
      <c r="F34" t="s">
        <v>10</v>
      </c>
      <c r="G34" t="s">
        <v>56</v>
      </c>
      <c r="H34">
        <v>45</v>
      </c>
      <c r="I34" t="e">
        <f>I33-H1_15min_Wh[[#This Row],[Column2]]+H1_15min_Wh[[#This Row],[Column3]]</f>
        <v>#VALUE!</v>
      </c>
      <c r="K34" t="e">
        <f>H1_15min_Wh[[#This Row],[Column2]]-H1_15min_Wh[[#This Row],[Column3]]-H1_15min_Wh[[#This Row],[Column6]]+H1_15min_Wh[[#This Row],[Column7]]</f>
        <v>#VALUE!</v>
      </c>
    </row>
    <row r="35" spans="1:11" x14ac:dyDescent="0.2">
      <c r="A35" t="s">
        <v>112</v>
      </c>
      <c r="B35" t="s">
        <v>10</v>
      </c>
      <c r="C35" t="s">
        <v>10</v>
      </c>
      <c r="D35" t="s">
        <v>10</v>
      </c>
      <c r="E35" t="s">
        <v>46</v>
      </c>
      <c r="F35" t="s">
        <v>10</v>
      </c>
      <c r="G35" t="s">
        <v>46</v>
      </c>
      <c r="I35" t="e">
        <f>I34-H1_15min_Wh[[#This Row],[Column2]]+H1_15min_Wh[[#This Row],[Column3]]</f>
        <v>#VALUE!</v>
      </c>
      <c r="K35" t="e">
        <f>H1_15min_Wh[[#This Row],[Column2]]-H1_15min_Wh[[#This Row],[Column3]]-H1_15min_Wh[[#This Row],[Column6]]+H1_15min_Wh[[#This Row],[Column7]]</f>
        <v>#VALUE!</v>
      </c>
    </row>
    <row r="36" spans="1:11" x14ac:dyDescent="0.2">
      <c r="A36" t="s">
        <v>113</v>
      </c>
      <c r="B36" t="s">
        <v>10</v>
      </c>
      <c r="C36" t="s">
        <v>10</v>
      </c>
      <c r="D36" t="s">
        <v>10</v>
      </c>
      <c r="E36" t="s">
        <v>46</v>
      </c>
      <c r="F36" t="s">
        <v>10</v>
      </c>
      <c r="G36" t="s">
        <v>46</v>
      </c>
      <c r="I36" t="e">
        <f>I35-H1_15min_Wh[[#This Row],[Column2]]+H1_15min_Wh[[#This Row],[Column3]]</f>
        <v>#VALUE!</v>
      </c>
      <c r="K36" t="e">
        <f>H1_15min_Wh[[#This Row],[Column2]]-H1_15min_Wh[[#This Row],[Column3]]-H1_15min_Wh[[#This Row],[Column6]]+H1_15min_Wh[[#This Row],[Column7]]</f>
        <v>#VALUE!</v>
      </c>
    </row>
    <row r="37" spans="1:11" x14ac:dyDescent="0.2">
      <c r="A37" t="s">
        <v>114</v>
      </c>
      <c r="B37" t="s">
        <v>10</v>
      </c>
      <c r="C37" t="s">
        <v>10</v>
      </c>
      <c r="D37" t="s">
        <v>11</v>
      </c>
      <c r="E37" t="s">
        <v>46</v>
      </c>
      <c r="F37" t="s">
        <v>10</v>
      </c>
      <c r="G37" t="s">
        <v>40</v>
      </c>
      <c r="I37" t="e">
        <f>I36-H1_15min_Wh[[#This Row],[Column2]]+H1_15min_Wh[[#This Row],[Column3]]</f>
        <v>#VALUE!</v>
      </c>
      <c r="K37" t="e">
        <f>H1_15min_Wh[[#This Row],[Column2]]-H1_15min_Wh[[#This Row],[Column3]]-H1_15min_Wh[[#This Row],[Column6]]+H1_15min_Wh[[#This Row],[Column7]]</f>
        <v>#VALUE!</v>
      </c>
    </row>
    <row r="38" spans="1:11" x14ac:dyDescent="0.2">
      <c r="A38" t="s">
        <v>21</v>
      </c>
      <c r="B38" t="s">
        <v>10</v>
      </c>
      <c r="C38" t="s">
        <v>10</v>
      </c>
      <c r="D38" t="s">
        <v>50</v>
      </c>
      <c r="E38" t="s">
        <v>88</v>
      </c>
      <c r="F38" t="s">
        <v>10</v>
      </c>
      <c r="G38" t="s">
        <v>49</v>
      </c>
      <c r="I38" t="e">
        <f>I37-H1_15min_Wh[[#This Row],[Column2]]+H1_15min_Wh[[#This Row],[Column3]]</f>
        <v>#VALUE!</v>
      </c>
      <c r="K38" t="e">
        <f>H1_15min_Wh[[#This Row],[Column2]]-H1_15min_Wh[[#This Row],[Column3]]-H1_15min_Wh[[#This Row],[Column6]]+H1_15min_Wh[[#This Row],[Column7]]</f>
        <v>#VALUE!</v>
      </c>
    </row>
    <row r="39" spans="1:11" x14ac:dyDescent="0.2">
      <c r="A39" t="s">
        <v>116</v>
      </c>
      <c r="B39" t="s">
        <v>10</v>
      </c>
      <c r="C39" t="s">
        <v>10</v>
      </c>
      <c r="D39" t="s">
        <v>53</v>
      </c>
      <c r="E39" t="s">
        <v>53</v>
      </c>
      <c r="F39" t="s">
        <v>10</v>
      </c>
      <c r="G39" t="s">
        <v>10</v>
      </c>
      <c r="I39" t="e">
        <f>I38-H1_15min_Wh[[#This Row],[Column2]]+H1_15min_Wh[[#This Row],[Column3]]</f>
        <v>#VALUE!</v>
      </c>
      <c r="K39" t="e">
        <f>H1_15min_Wh[[#This Row],[Column2]]-H1_15min_Wh[[#This Row],[Column3]]-H1_15min_Wh[[#This Row],[Column6]]+H1_15min_Wh[[#This Row],[Column7]]</f>
        <v>#VALUE!</v>
      </c>
    </row>
    <row r="40" spans="1:11" x14ac:dyDescent="0.2">
      <c r="A40" t="s">
        <v>117</v>
      </c>
      <c r="B40" t="s">
        <v>10</v>
      </c>
      <c r="C40" t="s">
        <v>10</v>
      </c>
      <c r="D40" t="s">
        <v>67</v>
      </c>
      <c r="E40" t="s">
        <v>118</v>
      </c>
      <c r="F40" t="s">
        <v>10</v>
      </c>
      <c r="G40" t="s">
        <v>240</v>
      </c>
      <c r="I40" t="e">
        <f>I39-H1_15min_Wh[[#This Row],[Column2]]+H1_15min_Wh[[#This Row],[Column3]]</f>
        <v>#VALUE!</v>
      </c>
      <c r="K40" t="e">
        <f>H1_15min_Wh[[#This Row],[Column2]]-H1_15min_Wh[[#This Row],[Column3]]-H1_15min_Wh[[#This Row],[Column6]]+H1_15min_Wh[[#This Row],[Column7]]</f>
        <v>#VALUE!</v>
      </c>
    </row>
    <row r="41" spans="1:11" x14ac:dyDescent="0.2">
      <c r="A41" t="s">
        <v>120</v>
      </c>
      <c r="B41" t="s">
        <v>10</v>
      </c>
      <c r="C41" t="s">
        <v>10</v>
      </c>
      <c r="D41" t="s">
        <v>53</v>
      </c>
      <c r="E41" t="s">
        <v>121</v>
      </c>
      <c r="F41" t="s">
        <v>10</v>
      </c>
      <c r="G41" t="s">
        <v>47</v>
      </c>
      <c r="I41" t="e">
        <f>I40-H1_15min_Wh[[#This Row],[Column2]]+H1_15min_Wh[[#This Row],[Column3]]</f>
        <v>#VALUE!</v>
      </c>
      <c r="K41" t="e">
        <f>H1_15min_Wh[[#This Row],[Column2]]-H1_15min_Wh[[#This Row],[Column3]]-H1_15min_Wh[[#This Row],[Column6]]+H1_15min_Wh[[#This Row],[Column7]]</f>
        <v>#VALUE!</v>
      </c>
    </row>
    <row r="42" spans="1:11" x14ac:dyDescent="0.2">
      <c r="A42" t="s">
        <v>22</v>
      </c>
      <c r="B42" t="s">
        <v>10</v>
      </c>
      <c r="C42" t="s">
        <v>51</v>
      </c>
      <c r="D42" t="s">
        <v>79</v>
      </c>
      <c r="E42" t="s">
        <v>75</v>
      </c>
      <c r="F42" t="s">
        <v>10</v>
      </c>
      <c r="G42" t="s">
        <v>10</v>
      </c>
      <c r="I42" t="e">
        <f>I41-H1_15min_Wh[[#This Row],[Column2]]+H1_15min_Wh[[#This Row],[Column3]]</f>
        <v>#VALUE!</v>
      </c>
      <c r="K42" t="e">
        <f>H1_15min_Wh[[#This Row],[Column2]]-H1_15min_Wh[[#This Row],[Column3]]-H1_15min_Wh[[#This Row],[Column6]]+H1_15min_Wh[[#This Row],[Column7]]</f>
        <v>#VALUE!</v>
      </c>
    </row>
    <row r="43" spans="1:11" x14ac:dyDescent="0.2">
      <c r="A43" t="s">
        <v>123</v>
      </c>
      <c r="B43" t="s">
        <v>10</v>
      </c>
      <c r="C43" t="s">
        <v>10</v>
      </c>
      <c r="D43" t="s">
        <v>125</v>
      </c>
      <c r="E43" t="s">
        <v>126</v>
      </c>
      <c r="F43" t="s">
        <v>10</v>
      </c>
      <c r="G43" t="s">
        <v>241</v>
      </c>
      <c r="I43" t="e">
        <f>I42-H1_15min_Wh[[#This Row],[Column2]]+H1_15min_Wh[[#This Row],[Column3]]</f>
        <v>#VALUE!</v>
      </c>
      <c r="K43" t="e">
        <f>H1_15min_Wh[[#This Row],[Column2]]-H1_15min_Wh[[#This Row],[Column3]]-H1_15min_Wh[[#This Row],[Column6]]+H1_15min_Wh[[#This Row],[Column7]]</f>
        <v>#VALUE!</v>
      </c>
    </row>
    <row r="44" spans="1:11" x14ac:dyDescent="0.2">
      <c r="A44" t="s">
        <v>128</v>
      </c>
      <c r="B44" t="s">
        <v>10</v>
      </c>
      <c r="C44" t="s">
        <v>52</v>
      </c>
      <c r="D44" t="s">
        <v>61</v>
      </c>
      <c r="E44" t="s">
        <v>58</v>
      </c>
      <c r="F44" t="s">
        <v>10</v>
      </c>
      <c r="G44" t="s">
        <v>10</v>
      </c>
      <c r="I44" t="e">
        <f>I43-H1_15min_Wh[[#This Row],[Column2]]+H1_15min_Wh[[#This Row],[Column3]]</f>
        <v>#VALUE!</v>
      </c>
      <c r="K44" t="e">
        <f>H1_15min_Wh[[#This Row],[Column2]]-H1_15min_Wh[[#This Row],[Column3]]-H1_15min_Wh[[#This Row],[Column6]]+H1_15min_Wh[[#This Row],[Column7]]</f>
        <v>#VALUE!</v>
      </c>
    </row>
    <row r="45" spans="1:11" x14ac:dyDescent="0.2">
      <c r="A45" t="s">
        <v>129</v>
      </c>
      <c r="B45" t="s">
        <v>10</v>
      </c>
      <c r="C45" t="s">
        <v>235</v>
      </c>
      <c r="D45" t="s">
        <v>131</v>
      </c>
      <c r="E45" t="s">
        <v>53</v>
      </c>
      <c r="F45" t="s">
        <v>10</v>
      </c>
      <c r="G45" t="s">
        <v>10</v>
      </c>
      <c r="I45" t="e">
        <f>I44-H1_15min_Wh[[#This Row],[Column2]]+H1_15min_Wh[[#This Row],[Column3]]</f>
        <v>#VALUE!</v>
      </c>
      <c r="K45" t="e">
        <f>H1_15min_Wh[[#This Row],[Column2]]-H1_15min_Wh[[#This Row],[Column3]]-H1_15min_Wh[[#This Row],[Column6]]+H1_15min_Wh[[#This Row],[Column7]]</f>
        <v>#VALUE!</v>
      </c>
    </row>
    <row r="46" spans="1:11" x14ac:dyDescent="0.2">
      <c r="A46" t="s">
        <v>23</v>
      </c>
      <c r="B46" t="s">
        <v>10</v>
      </c>
      <c r="C46" t="s">
        <v>152</v>
      </c>
      <c r="D46" t="s">
        <v>62</v>
      </c>
      <c r="E46" t="s">
        <v>56</v>
      </c>
      <c r="F46" t="s">
        <v>10</v>
      </c>
      <c r="G46" t="s">
        <v>10</v>
      </c>
      <c r="I46" t="e">
        <f>I45-H1_15min_Wh[[#This Row],[Column2]]+H1_15min_Wh[[#This Row],[Column3]]</f>
        <v>#VALUE!</v>
      </c>
      <c r="K46" t="e">
        <f>H1_15min_Wh[[#This Row],[Column2]]-H1_15min_Wh[[#This Row],[Column3]]-H1_15min_Wh[[#This Row],[Column6]]+H1_15min_Wh[[#This Row],[Column7]]</f>
        <v>#VALUE!</v>
      </c>
    </row>
    <row r="47" spans="1:11" x14ac:dyDescent="0.2">
      <c r="A47" t="s">
        <v>133</v>
      </c>
      <c r="B47" t="s">
        <v>10</v>
      </c>
      <c r="C47" t="s">
        <v>242</v>
      </c>
      <c r="D47" t="s">
        <v>135</v>
      </c>
      <c r="E47" t="s">
        <v>48</v>
      </c>
      <c r="F47" t="s">
        <v>10</v>
      </c>
      <c r="G47" t="s">
        <v>10</v>
      </c>
      <c r="I47" t="e">
        <f>I46-H1_15min_Wh[[#This Row],[Column2]]+H1_15min_Wh[[#This Row],[Column3]]</f>
        <v>#VALUE!</v>
      </c>
      <c r="K47" t="e">
        <f>H1_15min_Wh[[#This Row],[Column2]]-H1_15min_Wh[[#This Row],[Column3]]-H1_15min_Wh[[#This Row],[Column6]]+H1_15min_Wh[[#This Row],[Column7]]</f>
        <v>#VALUE!</v>
      </c>
    </row>
    <row r="48" spans="1:11" x14ac:dyDescent="0.2">
      <c r="A48" t="s">
        <v>136</v>
      </c>
      <c r="B48" t="s">
        <v>10</v>
      </c>
      <c r="C48" t="s">
        <v>242</v>
      </c>
      <c r="D48" t="s">
        <v>135</v>
      </c>
      <c r="E48" t="s">
        <v>48</v>
      </c>
      <c r="F48" t="s">
        <v>10</v>
      </c>
      <c r="G48" t="s">
        <v>10</v>
      </c>
      <c r="I48" t="e">
        <f>I47-H1_15min_Wh[[#This Row],[Column2]]+H1_15min_Wh[[#This Row],[Column3]]</f>
        <v>#VALUE!</v>
      </c>
      <c r="K48" t="e">
        <f>H1_15min_Wh[[#This Row],[Column2]]-H1_15min_Wh[[#This Row],[Column3]]-H1_15min_Wh[[#This Row],[Column6]]+H1_15min_Wh[[#This Row],[Column7]]</f>
        <v>#VALUE!</v>
      </c>
    </row>
    <row r="49" spans="1:11" x14ac:dyDescent="0.2">
      <c r="A49" t="s">
        <v>137</v>
      </c>
      <c r="B49" t="s">
        <v>10</v>
      </c>
      <c r="C49" t="s">
        <v>243</v>
      </c>
      <c r="D49" t="s">
        <v>139</v>
      </c>
      <c r="E49" t="s">
        <v>56</v>
      </c>
      <c r="F49" t="s">
        <v>10</v>
      </c>
      <c r="G49" t="s">
        <v>10</v>
      </c>
      <c r="H49">
        <v>2</v>
      </c>
      <c r="I49" t="e">
        <f>I48-H1_15min_Wh[[#This Row],[Column2]]+H1_15min_Wh[[#This Row],[Column3]]</f>
        <v>#VALUE!</v>
      </c>
      <c r="K49" t="e">
        <f>H1_15min_Wh[[#This Row],[Column2]]-H1_15min_Wh[[#This Row],[Column3]]-H1_15min_Wh[[#This Row],[Column6]]+H1_15min_Wh[[#This Row],[Column7]]</f>
        <v>#VALUE!</v>
      </c>
    </row>
    <row r="50" spans="1:11" x14ac:dyDescent="0.2">
      <c r="A50" t="s">
        <v>24</v>
      </c>
      <c r="B50" t="s">
        <v>10</v>
      </c>
      <c r="C50" t="s">
        <v>65</v>
      </c>
      <c r="D50" t="s">
        <v>142</v>
      </c>
      <c r="E50" t="s">
        <v>48</v>
      </c>
      <c r="F50" t="s">
        <v>10</v>
      </c>
      <c r="G50" t="s">
        <v>10</v>
      </c>
      <c r="I50" t="e">
        <f>I49-H1_15min_Wh[[#This Row],[Column2]]+H1_15min_Wh[[#This Row],[Column3]]</f>
        <v>#VALUE!</v>
      </c>
      <c r="K50" t="e">
        <f>H1_15min_Wh[[#This Row],[Column2]]-H1_15min_Wh[[#This Row],[Column3]]-H1_15min_Wh[[#This Row],[Column6]]+H1_15min_Wh[[#This Row],[Column7]]</f>
        <v>#VALUE!</v>
      </c>
    </row>
    <row r="51" spans="1:11" x14ac:dyDescent="0.2">
      <c r="A51" t="s">
        <v>143</v>
      </c>
      <c r="B51" t="s">
        <v>10</v>
      </c>
      <c r="C51" t="s">
        <v>10</v>
      </c>
      <c r="D51" t="s">
        <v>144</v>
      </c>
      <c r="E51" t="s">
        <v>145</v>
      </c>
      <c r="F51" t="s">
        <v>10</v>
      </c>
      <c r="G51" t="s">
        <v>144</v>
      </c>
      <c r="I51" t="e">
        <f>I50-H1_15min_Wh[[#This Row],[Column2]]+H1_15min_Wh[[#This Row],[Column3]]</f>
        <v>#VALUE!</v>
      </c>
      <c r="K51" t="e">
        <f>H1_15min_Wh[[#This Row],[Column2]]-H1_15min_Wh[[#This Row],[Column3]]-H1_15min_Wh[[#This Row],[Column6]]+H1_15min_Wh[[#This Row],[Column7]]</f>
        <v>#VALUE!</v>
      </c>
    </row>
    <row r="52" spans="1:11" x14ac:dyDescent="0.2">
      <c r="A52" t="s">
        <v>146</v>
      </c>
      <c r="B52" t="s">
        <v>10</v>
      </c>
      <c r="C52" t="s">
        <v>10</v>
      </c>
      <c r="D52" t="s">
        <v>66</v>
      </c>
      <c r="E52" t="s">
        <v>148</v>
      </c>
      <c r="F52" t="s">
        <v>10</v>
      </c>
      <c r="G52" t="s">
        <v>244</v>
      </c>
      <c r="I52" t="e">
        <f>I51-H1_15min_Wh[[#This Row],[Column2]]+H1_15min_Wh[[#This Row],[Column3]]</f>
        <v>#VALUE!</v>
      </c>
      <c r="K52" t="e">
        <f>H1_15min_Wh[[#This Row],[Column2]]-H1_15min_Wh[[#This Row],[Column3]]-H1_15min_Wh[[#This Row],[Column6]]+H1_15min_Wh[[#This Row],[Column7]]</f>
        <v>#VALUE!</v>
      </c>
    </row>
    <row r="53" spans="1:11" x14ac:dyDescent="0.2">
      <c r="A53" t="s">
        <v>150</v>
      </c>
      <c r="B53" t="s">
        <v>10</v>
      </c>
      <c r="C53" t="s">
        <v>10</v>
      </c>
      <c r="D53" t="s">
        <v>68</v>
      </c>
      <c r="E53" t="s">
        <v>152</v>
      </c>
      <c r="F53" t="s">
        <v>10</v>
      </c>
      <c r="G53" t="s">
        <v>245</v>
      </c>
      <c r="I53" t="e">
        <f>I52-H1_15min_Wh[[#This Row],[Column2]]+H1_15min_Wh[[#This Row],[Column3]]</f>
        <v>#VALUE!</v>
      </c>
      <c r="K53" t="e">
        <f>H1_15min_Wh[[#This Row],[Column2]]-H1_15min_Wh[[#This Row],[Column3]]-H1_15min_Wh[[#This Row],[Column6]]+H1_15min_Wh[[#This Row],[Column7]]</f>
        <v>#VALUE!</v>
      </c>
    </row>
    <row r="54" spans="1:11" x14ac:dyDescent="0.2">
      <c r="A54" t="s">
        <v>25</v>
      </c>
      <c r="B54" t="s">
        <v>10</v>
      </c>
      <c r="C54" t="s">
        <v>10</v>
      </c>
      <c r="D54" t="s">
        <v>154</v>
      </c>
      <c r="E54" t="s">
        <v>155</v>
      </c>
      <c r="F54" t="s">
        <v>10</v>
      </c>
      <c r="G54" t="s">
        <v>46</v>
      </c>
      <c r="I54" t="e">
        <f>I53-H1_15min_Wh[[#This Row],[Column2]]+H1_15min_Wh[[#This Row],[Column3]]</f>
        <v>#VALUE!</v>
      </c>
      <c r="K54" t="e">
        <f>H1_15min_Wh[[#This Row],[Column2]]-H1_15min_Wh[[#This Row],[Column3]]-H1_15min_Wh[[#This Row],[Column6]]+H1_15min_Wh[[#This Row],[Column7]]</f>
        <v>#VALUE!</v>
      </c>
    </row>
    <row r="55" spans="1:11" x14ac:dyDescent="0.2">
      <c r="A55" t="s">
        <v>157</v>
      </c>
      <c r="B55" t="s">
        <v>10</v>
      </c>
      <c r="C55" t="s">
        <v>78</v>
      </c>
      <c r="D55" t="s">
        <v>158</v>
      </c>
      <c r="E55" t="s">
        <v>56</v>
      </c>
      <c r="F55" t="s">
        <v>10</v>
      </c>
      <c r="G55" t="s">
        <v>10</v>
      </c>
      <c r="I55" t="e">
        <f>I54-H1_15min_Wh[[#This Row],[Column2]]+H1_15min_Wh[[#This Row],[Column3]]</f>
        <v>#VALUE!</v>
      </c>
      <c r="K55" t="e">
        <f>H1_15min_Wh[[#This Row],[Column2]]-H1_15min_Wh[[#This Row],[Column3]]-H1_15min_Wh[[#This Row],[Column6]]+H1_15min_Wh[[#This Row],[Column7]]</f>
        <v>#VALUE!</v>
      </c>
    </row>
    <row r="56" spans="1:11" x14ac:dyDescent="0.2">
      <c r="A56" t="s">
        <v>159</v>
      </c>
      <c r="B56" t="s">
        <v>10</v>
      </c>
      <c r="C56" t="s">
        <v>46</v>
      </c>
      <c r="D56" t="s">
        <v>124</v>
      </c>
      <c r="E56" t="s">
        <v>88</v>
      </c>
      <c r="F56" t="s">
        <v>10</v>
      </c>
      <c r="G56" t="s">
        <v>10</v>
      </c>
      <c r="I56" t="e">
        <f>I55-H1_15min_Wh[[#This Row],[Column2]]+H1_15min_Wh[[#This Row],[Column3]]</f>
        <v>#VALUE!</v>
      </c>
      <c r="K56" t="e">
        <f>H1_15min_Wh[[#This Row],[Column2]]-H1_15min_Wh[[#This Row],[Column3]]-H1_15min_Wh[[#This Row],[Column6]]+H1_15min_Wh[[#This Row],[Column7]]</f>
        <v>#VALUE!</v>
      </c>
    </row>
    <row r="57" spans="1:11" x14ac:dyDescent="0.2">
      <c r="A57" t="s">
        <v>160</v>
      </c>
      <c r="B57" t="s">
        <v>10</v>
      </c>
      <c r="C57" t="s">
        <v>54</v>
      </c>
      <c r="D57" t="s">
        <v>79</v>
      </c>
      <c r="E57" t="s">
        <v>55</v>
      </c>
      <c r="F57" t="s">
        <v>10</v>
      </c>
      <c r="G57" t="s">
        <v>10</v>
      </c>
      <c r="I57" t="e">
        <f>I56-H1_15min_Wh[[#This Row],[Column2]]+H1_15min_Wh[[#This Row],[Column3]]</f>
        <v>#VALUE!</v>
      </c>
      <c r="K57" t="e">
        <f>H1_15min_Wh[[#This Row],[Column2]]-H1_15min_Wh[[#This Row],[Column3]]-H1_15min_Wh[[#This Row],[Column6]]+H1_15min_Wh[[#This Row],[Column7]]</f>
        <v>#VALUE!</v>
      </c>
    </row>
    <row r="58" spans="1:11" x14ac:dyDescent="0.2">
      <c r="A58" t="s">
        <v>27</v>
      </c>
      <c r="B58" t="s">
        <v>10</v>
      </c>
      <c r="C58" t="s">
        <v>26</v>
      </c>
      <c r="D58" t="s">
        <v>56</v>
      </c>
      <c r="E58" t="s">
        <v>48</v>
      </c>
      <c r="F58" t="s">
        <v>10</v>
      </c>
      <c r="G58" t="s">
        <v>10</v>
      </c>
      <c r="I58" t="e">
        <f>I57-H1_15min_Wh[[#This Row],[Column2]]+H1_15min_Wh[[#This Row],[Column3]]</f>
        <v>#VALUE!</v>
      </c>
      <c r="K58" t="e">
        <f>H1_15min_Wh[[#This Row],[Column2]]-H1_15min_Wh[[#This Row],[Column3]]-H1_15min_Wh[[#This Row],[Column6]]+H1_15min_Wh[[#This Row],[Column7]]</f>
        <v>#VALUE!</v>
      </c>
    </row>
    <row r="59" spans="1:11" x14ac:dyDescent="0.2">
      <c r="A59" t="s">
        <v>162</v>
      </c>
      <c r="B59" t="s">
        <v>10</v>
      </c>
      <c r="C59" t="s">
        <v>10</v>
      </c>
      <c r="D59" t="s">
        <v>48</v>
      </c>
      <c r="E59" t="s">
        <v>56</v>
      </c>
      <c r="F59" t="s">
        <v>10</v>
      </c>
      <c r="G59" t="s">
        <v>26</v>
      </c>
      <c r="I59" t="e">
        <f>I58-H1_15min_Wh[[#This Row],[Column2]]+H1_15min_Wh[[#This Row],[Column3]]</f>
        <v>#VALUE!</v>
      </c>
      <c r="K59" t="e">
        <f>H1_15min_Wh[[#This Row],[Column2]]-H1_15min_Wh[[#This Row],[Column3]]-H1_15min_Wh[[#This Row],[Column6]]+H1_15min_Wh[[#This Row],[Column7]]</f>
        <v>#VALUE!</v>
      </c>
    </row>
    <row r="60" spans="1:11" x14ac:dyDescent="0.2">
      <c r="A60" t="s">
        <v>163</v>
      </c>
      <c r="B60" t="s">
        <v>10</v>
      </c>
      <c r="C60" t="s">
        <v>11</v>
      </c>
      <c r="D60" t="s">
        <v>57</v>
      </c>
      <c r="E60" t="s">
        <v>56</v>
      </c>
      <c r="F60" t="s">
        <v>10</v>
      </c>
      <c r="G60" t="s">
        <v>10</v>
      </c>
      <c r="I60" t="e">
        <f>I59-H1_15min_Wh[[#This Row],[Column2]]+H1_15min_Wh[[#This Row],[Column3]]</f>
        <v>#VALUE!</v>
      </c>
      <c r="K60" t="e">
        <f>H1_15min_Wh[[#This Row],[Column2]]-H1_15min_Wh[[#This Row],[Column3]]-H1_15min_Wh[[#This Row],[Column6]]+H1_15min_Wh[[#This Row],[Column7]]</f>
        <v>#VALUE!</v>
      </c>
    </row>
    <row r="61" spans="1:11" x14ac:dyDescent="0.2">
      <c r="A61" t="s">
        <v>164</v>
      </c>
      <c r="B61" t="s">
        <v>10</v>
      </c>
      <c r="C61" t="s">
        <v>10</v>
      </c>
      <c r="D61" t="s">
        <v>41</v>
      </c>
      <c r="E61" t="s">
        <v>56</v>
      </c>
      <c r="F61" t="s">
        <v>10</v>
      </c>
      <c r="G61" t="s">
        <v>11</v>
      </c>
      <c r="I61" t="e">
        <f>I60-H1_15min_Wh[[#This Row],[Column2]]+H1_15min_Wh[[#This Row],[Column3]]</f>
        <v>#VALUE!</v>
      </c>
      <c r="K61" t="e">
        <f>H1_15min_Wh[[#This Row],[Column2]]-H1_15min_Wh[[#This Row],[Column3]]-H1_15min_Wh[[#This Row],[Column6]]+H1_15min_Wh[[#This Row],[Column7]]</f>
        <v>#VALUE!</v>
      </c>
    </row>
    <row r="62" spans="1:11" x14ac:dyDescent="0.2">
      <c r="A62" t="s">
        <v>28</v>
      </c>
      <c r="B62" t="s">
        <v>10</v>
      </c>
      <c r="C62" t="s">
        <v>10</v>
      </c>
      <c r="D62" t="s">
        <v>41</v>
      </c>
      <c r="E62" t="s">
        <v>63</v>
      </c>
      <c r="F62" t="s">
        <v>10</v>
      </c>
      <c r="G62" t="s">
        <v>88</v>
      </c>
      <c r="I62" t="e">
        <f>I61-H1_15min_Wh[[#This Row],[Column2]]+H1_15min_Wh[[#This Row],[Column3]]</f>
        <v>#VALUE!</v>
      </c>
      <c r="K62" t="e">
        <f>H1_15min_Wh[[#This Row],[Column2]]-H1_15min_Wh[[#This Row],[Column3]]-H1_15min_Wh[[#This Row],[Column6]]+H1_15min_Wh[[#This Row],[Column7]]</f>
        <v>#VALUE!</v>
      </c>
    </row>
    <row r="63" spans="1:11" x14ac:dyDescent="0.2">
      <c r="A63" t="s">
        <v>166</v>
      </c>
      <c r="B63" t="s">
        <v>10</v>
      </c>
      <c r="C63" t="s">
        <v>10</v>
      </c>
      <c r="D63" t="s">
        <v>10</v>
      </c>
      <c r="E63" t="s">
        <v>57</v>
      </c>
      <c r="F63" t="s">
        <v>10</v>
      </c>
      <c r="G63" t="s">
        <v>57</v>
      </c>
      <c r="I63" t="e">
        <f>I62-H1_15min_Wh[[#This Row],[Column2]]+H1_15min_Wh[[#This Row],[Column3]]</f>
        <v>#VALUE!</v>
      </c>
      <c r="K63" t="e">
        <f>H1_15min_Wh[[#This Row],[Column2]]-H1_15min_Wh[[#This Row],[Column3]]-H1_15min_Wh[[#This Row],[Column6]]+H1_15min_Wh[[#This Row],[Column7]]</f>
        <v>#VALUE!</v>
      </c>
    </row>
    <row r="64" spans="1:11" x14ac:dyDescent="0.2">
      <c r="A64" t="s">
        <v>167</v>
      </c>
      <c r="B64" t="s">
        <v>10</v>
      </c>
      <c r="C64" t="s">
        <v>10</v>
      </c>
      <c r="D64" t="s">
        <v>10</v>
      </c>
      <c r="E64" t="s">
        <v>46</v>
      </c>
      <c r="F64" t="s">
        <v>10</v>
      </c>
      <c r="G64" t="s">
        <v>46</v>
      </c>
      <c r="I64" t="e">
        <f>I63-H1_15min_Wh[[#This Row],[Column2]]+H1_15min_Wh[[#This Row],[Column3]]</f>
        <v>#VALUE!</v>
      </c>
      <c r="K64" t="e">
        <f>H1_15min_Wh[[#This Row],[Column2]]-H1_15min_Wh[[#This Row],[Column3]]-H1_15min_Wh[[#This Row],[Column6]]+H1_15min_Wh[[#This Row],[Column7]]</f>
        <v>#VALUE!</v>
      </c>
    </row>
    <row r="65" spans="1:11" x14ac:dyDescent="0.2">
      <c r="A65" t="s">
        <v>168</v>
      </c>
      <c r="B65" t="s">
        <v>10</v>
      </c>
      <c r="C65" t="s">
        <v>10</v>
      </c>
      <c r="D65" t="s">
        <v>10</v>
      </c>
      <c r="E65" t="s">
        <v>169</v>
      </c>
      <c r="F65" t="s">
        <v>10</v>
      </c>
      <c r="G65" t="s">
        <v>169</v>
      </c>
      <c r="I65" t="e">
        <f>I64-H1_15min_Wh[[#This Row],[Column2]]+H1_15min_Wh[[#This Row],[Column3]]</f>
        <v>#VALUE!</v>
      </c>
      <c r="K65" t="e">
        <f>H1_15min_Wh[[#This Row],[Column2]]-H1_15min_Wh[[#This Row],[Column3]]-H1_15min_Wh[[#This Row],[Column6]]+H1_15min_Wh[[#This Row],[Column7]]</f>
        <v>#VALUE!</v>
      </c>
    </row>
    <row r="66" spans="1:11" x14ac:dyDescent="0.2">
      <c r="A66" t="s">
        <v>29</v>
      </c>
      <c r="B66" t="s">
        <v>10</v>
      </c>
      <c r="C66" t="s">
        <v>10</v>
      </c>
      <c r="D66" t="s">
        <v>10</v>
      </c>
      <c r="E66" t="s">
        <v>172</v>
      </c>
      <c r="F66" t="s">
        <v>10</v>
      </c>
      <c r="G66" t="s">
        <v>172</v>
      </c>
      <c r="I66" t="e">
        <f>I65-H1_15min_Wh[[#This Row],[Column2]]+H1_15min_Wh[[#This Row],[Column3]]</f>
        <v>#VALUE!</v>
      </c>
      <c r="K66" t="e">
        <f>H1_15min_Wh[[#This Row],[Column2]]-H1_15min_Wh[[#This Row],[Column3]]-H1_15min_Wh[[#This Row],[Column6]]+H1_15min_Wh[[#This Row],[Column7]]</f>
        <v>#VALUE!</v>
      </c>
    </row>
    <row r="67" spans="1:11" x14ac:dyDescent="0.2">
      <c r="A67" t="s">
        <v>174</v>
      </c>
      <c r="B67" t="s">
        <v>10</v>
      </c>
      <c r="C67" t="s">
        <v>10</v>
      </c>
      <c r="D67" t="s">
        <v>10</v>
      </c>
      <c r="E67" t="s">
        <v>175</v>
      </c>
      <c r="F67" t="s">
        <v>10</v>
      </c>
      <c r="G67" t="s">
        <v>175</v>
      </c>
      <c r="I67" t="e">
        <f>I66-H1_15min_Wh[[#This Row],[Column2]]+H1_15min_Wh[[#This Row],[Column3]]</f>
        <v>#VALUE!</v>
      </c>
      <c r="K67" t="e">
        <f>H1_15min_Wh[[#This Row],[Column2]]-H1_15min_Wh[[#This Row],[Column3]]-H1_15min_Wh[[#This Row],[Column6]]+H1_15min_Wh[[#This Row],[Column7]]</f>
        <v>#VALUE!</v>
      </c>
    </row>
    <row r="68" spans="1:11" x14ac:dyDescent="0.2">
      <c r="A68" t="s">
        <v>177</v>
      </c>
      <c r="B68" t="s">
        <v>10</v>
      </c>
      <c r="C68" t="s">
        <v>10</v>
      </c>
      <c r="D68" t="s">
        <v>10</v>
      </c>
      <c r="E68" t="s">
        <v>178</v>
      </c>
      <c r="F68" t="s">
        <v>10</v>
      </c>
      <c r="G68" t="s">
        <v>178</v>
      </c>
      <c r="I68" t="e">
        <f>I67-H1_15min_Wh[[#This Row],[Column2]]+H1_15min_Wh[[#This Row],[Column3]]</f>
        <v>#VALUE!</v>
      </c>
      <c r="K68" t="e">
        <f>H1_15min_Wh[[#This Row],[Column2]]-H1_15min_Wh[[#This Row],[Column3]]-H1_15min_Wh[[#This Row],[Column6]]+H1_15min_Wh[[#This Row],[Column7]]</f>
        <v>#VALUE!</v>
      </c>
    </row>
    <row r="69" spans="1:11" x14ac:dyDescent="0.2">
      <c r="A69" t="s">
        <v>180</v>
      </c>
      <c r="B69" t="s">
        <v>10</v>
      </c>
      <c r="C69" t="s">
        <v>10</v>
      </c>
      <c r="D69" t="s">
        <v>10</v>
      </c>
      <c r="E69" t="s">
        <v>181</v>
      </c>
      <c r="F69" t="s">
        <v>10</v>
      </c>
      <c r="G69" t="s">
        <v>181</v>
      </c>
      <c r="I69" t="e">
        <f>I68-H1_15min_Wh[[#This Row],[Column2]]+H1_15min_Wh[[#This Row],[Column3]]</f>
        <v>#VALUE!</v>
      </c>
      <c r="K69" t="e">
        <f>H1_15min_Wh[[#This Row],[Column2]]-H1_15min_Wh[[#This Row],[Column3]]-H1_15min_Wh[[#This Row],[Column6]]+H1_15min_Wh[[#This Row],[Column7]]</f>
        <v>#VALUE!</v>
      </c>
    </row>
    <row r="70" spans="1:11" x14ac:dyDescent="0.2">
      <c r="A70" t="s">
        <v>30</v>
      </c>
      <c r="B70" t="s">
        <v>10</v>
      </c>
      <c r="C70" t="s">
        <v>10</v>
      </c>
      <c r="D70" t="s">
        <v>10</v>
      </c>
      <c r="E70" t="s">
        <v>183</v>
      </c>
      <c r="F70" t="s">
        <v>10</v>
      </c>
      <c r="G70" t="s">
        <v>183</v>
      </c>
      <c r="I70" t="e">
        <f>I69-H1_15min_Wh[[#This Row],[Column2]]+H1_15min_Wh[[#This Row],[Column3]]</f>
        <v>#VALUE!</v>
      </c>
      <c r="K70" t="e">
        <f>H1_15min_Wh[[#This Row],[Column2]]-H1_15min_Wh[[#This Row],[Column3]]-H1_15min_Wh[[#This Row],[Column6]]+H1_15min_Wh[[#This Row],[Column7]]</f>
        <v>#VALUE!</v>
      </c>
    </row>
    <row r="71" spans="1:11" x14ac:dyDescent="0.2">
      <c r="A71" t="s">
        <v>185</v>
      </c>
      <c r="B71" t="s">
        <v>10</v>
      </c>
      <c r="C71" t="s">
        <v>10</v>
      </c>
      <c r="D71" t="s">
        <v>10</v>
      </c>
      <c r="E71" t="s">
        <v>186</v>
      </c>
      <c r="F71" t="s">
        <v>10</v>
      </c>
      <c r="G71" t="s">
        <v>186</v>
      </c>
      <c r="I71" t="e">
        <f>I70-H1_15min_Wh[[#This Row],[Column2]]+H1_15min_Wh[[#This Row],[Column3]]</f>
        <v>#VALUE!</v>
      </c>
      <c r="K71" t="e">
        <f>H1_15min_Wh[[#This Row],[Column2]]-H1_15min_Wh[[#This Row],[Column3]]-H1_15min_Wh[[#This Row],[Column6]]+H1_15min_Wh[[#This Row],[Column7]]</f>
        <v>#VALUE!</v>
      </c>
    </row>
    <row r="72" spans="1:11" x14ac:dyDescent="0.2">
      <c r="A72" t="s">
        <v>188</v>
      </c>
      <c r="B72" t="s">
        <v>10</v>
      </c>
      <c r="C72" t="s">
        <v>10</v>
      </c>
      <c r="D72" t="s">
        <v>10</v>
      </c>
      <c r="E72" t="s">
        <v>189</v>
      </c>
      <c r="F72" t="s">
        <v>10</v>
      </c>
      <c r="G72" t="s">
        <v>189</v>
      </c>
      <c r="I72" t="e">
        <f>I71-H1_15min_Wh[[#This Row],[Column2]]+H1_15min_Wh[[#This Row],[Column3]]</f>
        <v>#VALUE!</v>
      </c>
      <c r="K72" t="e">
        <f>H1_15min_Wh[[#This Row],[Column2]]-H1_15min_Wh[[#This Row],[Column3]]-H1_15min_Wh[[#This Row],[Column6]]+H1_15min_Wh[[#This Row],[Column7]]</f>
        <v>#VALUE!</v>
      </c>
    </row>
    <row r="73" spans="1:11" x14ac:dyDescent="0.2">
      <c r="A73" t="s">
        <v>191</v>
      </c>
      <c r="B73" t="s">
        <v>10</v>
      </c>
      <c r="C73" t="s">
        <v>10</v>
      </c>
      <c r="D73" t="s">
        <v>10</v>
      </c>
      <c r="E73" t="s">
        <v>192</v>
      </c>
      <c r="F73" t="s">
        <v>10</v>
      </c>
      <c r="G73" t="s">
        <v>192</v>
      </c>
      <c r="I73" t="e">
        <f>I72-H1_15min_Wh[[#This Row],[Column2]]+H1_15min_Wh[[#This Row],[Column3]]</f>
        <v>#VALUE!</v>
      </c>
      <c r="K73" t="e">
        <f>H1_15min_Wh[[#This Row],[Column2]]-H1_15min_Wh[[#This Row],[Column3]]-H1_15min_Wh[[#This Row],[Column6]]+H1_15min_Wh[[#This Row],[Column7]]</f>
        <v>#VALUE!</v>
      </c>
    </row>
    <row r="74" spans="1:11" x14ac:dyDescent="0.2">
      <c r="A74" t="s">
        <v>31</v>
      </c>
      <c r="B74" t="s">
        <v>10</v>
      </c>
      <c r="C74" t="s">
        <v>10</v>
      </c>
      <c r="D74" t="s">
        <v>10</v>
      </c>
      <c r="E74" t="s">
        <v>195</v>
      </c>
      <c r="F74" t="s">
        <v>10</v>
      </c>
      <c r="G74" t="s">
        <v>195</v>
      </c>
      <c r="I74" t="e">
        <f>I73-H1_15min_Wh[[#This Row],[Column2]]+H1_15min_Wh[[#This Row],[Column3]]</f>
        <v>#VALUE!</v>
      </c>
      <c r="K74" t="e">
        <f>H1_15min_Wh[[#This Row],[Column2]]-H1_15min_Wh[[#This Row],[Column3]]-H1_15min_Wh[[#This Row],[Column6]]+H1_15min_Wh[[#This Row],[Column7]]</f>
        <v>#VALUE!</v>
      </c>
    </row>
    <row r="75" spans="1:11" x14ac:dyDescent="0.2">
      <c r="A75" t="s">
        <v>196</v>
      </c>
      <c r="B75" t="s">
        <v>10</v>
      </c>
      <c r="C75" t="s">
        <v>10</v>
      </c>
      <c r="D75" t="s">
        <v>10</v>
      </c>
      <c r="E75" t="s">
        <v>197</v>
      </c>
      <c r="F75" t="s">
        <v>10</v>
      </c>
      <c r="G75" t="s">
        <v>197</v>
      </c>
      <c r="I75" t="e">
        <f>I74-H1_15min_Wh[[#This Row],[Column2]]+H1_15min_Wh[[#This Row],[Column3]]</f>
        <v>#VALUE!</v>
      </c>
      <c r="K75" t="e">
        <f>H1_15min_Wh[[#This Row],[Column2]]-H1_15min_Wh[[#This Row],[Column3]]-H1_15min_Wh[[#This Row],[Column6]]+H1_15min_Wh[[#This Row],[Column7]]</f>
        <v>#VALUE!</v>
      </c>
    </row>
    <row r="76" spans="1:11" x14ac:dyDescent="0.2">
      <c r="A76" t="s">
        <v>199</v>
      </c>
      <c r="B76" t="s">
        <v>10</v>
      </c>
      <c r="C76" t="s">
        <v>10</v>
      </c>
      <c r="D76" t="s">
        <v>10</v>
      </c>
      <c r="E76" t="s">
        <v>142</v>
      </c>
      <c r="F76" t="s">
        <v>10</v>
      </c>
      <c r="G76" t="s">
        <v>142</v>
      </c>
      <c r="I76" t="e">
        <f>I75-H1_15min_Wh[[#This Row],[Column2]]+H1_15min_Wh[[#This Row],[Column3]]</f>
        <v>#VALUE!</v>
      </c>
      <c r="K76" t="e">
        <f>H1_15min_Wh[[#This Row],[Column2]]-H1_15min_Wh[[#This Row],[Column3]]-H1_15min_Wh[[#This Row],[Column6]]+H1_15min_Wh[[#This Row],[Column7]]</f>
        <v>#VALUE!</v>
      </c>
    </row>
    <row r="77" spans="1:11" x14ac:dyDescent="0.2">
      <c r="A77" t="s">
        <v>200</v>
      </c>
      <c r="B77" t="s">
        <v>10</v>
      </c>
      <c r="C77" t="s">
        <v>10</v>
      </c>
      <c r="D77" t="s">
        <v>10</v>
      </c>
      <c r="E77" t="s">
        <v>201</v>
      </c>
      <c r="F77" t="s">
        <v>10</v>
      </c>
      <c r="G77" t="s">
        <v>201</v>
      </c>
      <c r="I77" t="e">
        <f>I76-H1_15min_Wh[[#This Row],[Column2]]+H1_15min_Wh[[#This Row],[Column3]]</f>
        <v>#VALUE!</v>
      </c>
      <c r="K77" t="e">
        <f>H1_15min_Wh[[#This Row],[Column2]]-H1_15min_Wh[[#This Row],[Column3]]-H1_15min_Wh[[#This Row],[Column6]]+H1_15min_Wh[[#This Row],[Column7]]</f>
        <v>#VALUE!</v>
      </c>
    </row>
    <row r="78" spans="1:11" x14ac:dyDescent="0.2">
      <c r="A78" t="s">
        <v>32</v>
      </c>
      <c r="B78" t="s">
        <v>10</v>
      </c>
      <c r="C78" t="s">
        <v>10</v>
      </c>
      <c r="D78" t="s">
        <v>10</v>
      </c>
      <c r="E78" t="s">
        <v>70</v>
      </c>
      <c r="F78" t="s">
        <v>10</v>
      </c>
      <c r="G78" t="s">
        <v>70</v>
      </c>
      <c r="I78" t="e">
        <f>I77-H1_15min_Wh[[#This Row],[Column2]]+H1_15min_Wh[[#This Row],[Column3]]</f>
        <v>#VALUE!</v>
      </c>
      <c r="K78" t="e">
        <f>H1_15min_Wh[[#This Row],[Column2]]-H1_15min_Wh[[#This Row],[Column3]]-H1_15min_Wh[[#This Row],[Column6]]+H1_15min_Wh[[#This Row],[Column7]]</f>
        <v>#VALUE!</v>
      </c>
    </row>
    <row r="79" spans="1:11" x14ac:dyDescent="0.2">
      <c r="A79" t="s">
        <v>205</v>
      </c>
      <c r="B79" t="s">
        <v>10</v>
      </c>
      <c r="C79" t="s">
        <v>10</v>
      </c>
      <c r="D79" t="s">
        <v>10</v>
      </c>
      <c r="E79" t="s">
        <v>172</v>
      </c>
      <c r="F79" t="s">
        <v>10</v>
      </c>
      <c r="G79" t="s">
        <v>172</v>
      </c>
      <c r="I79" t="e">
        <f>I78-H1_15min_Wh[[#This Row],[Column2]]+H1_15min_Wh[[#This Row],[Column3]]</f>
        <v>#VALUE!</v>
      </c>
      <c r="K79" t="e">
        <f>H1_15min_Wh[[#This Row],[Column2]]-H1_15min_Wh[[#This Row],[Column3]]-H1_15min_Wh[[#This Row],[Column6]]+H1_15min_Wh[[#This Row],[Column7]]</f>
        <v>#VALUE!</v>
      </c>
    </row>
    <row r="80" spans="1:11" x14ac:dyDescent="0.2">
      <c r="A80" t="s">
        <v>206</v>
      </c>
      <c r="B80" t="s">
        <v>10</v>
      </c>
      <c r="C80" t="s">
        <v>10</v>
      </c>
      <c r="D80" t="s">
        <v>10</v>
      </c>
      <c r="E80" t="s">
        <v>178</v>
      </c>
      <c r="F80" t="s">
        <v>10</v>
      </c>
      <c r="G80" t="s">
        <v>178</v>
      </c>
      <c r="I80" t="e">
        <f>I79-H1_15min_Wh[[#This Row],[Column2]]+H1_15min_Wh[[#This Row],[Column3]]</f>
        <v>#VALUE!</v>
      </c>
      <c r="K80" t="e">
        <f>H1_15min_Wh[[#This Row],[Column2]]-H1_15min_Wh[[#This Row],[Column3]]-H1_15min_Wh[[#This Row],[Column6]]+H1_15min_Wh[[#This Row],[Column7]]</f>
        <v>#VALUE!</v>
      </c>
    </row>
    <row r="81" spans="1:11" x14ac:dyDescent="0.2">
      <c r="A81" t="s">
        <v>208</v>
      </c>
      <c r="B81" t="s">
        <v>10</v>
      </c>
      <c r="C81" t="s">
        <v>10</v>
      </c>
      <c r="D81" t="s">
        <v>10</v>
      </c>
      <c r="E81" t="s">
        <v>72</v>
      </c>
      <c r="F81" t="s">
        <v>10</v>
      </c>
      <c r="G81" t="s">
        <v>72</v>
      </c>
      <c r="I81" t="e">
        <f>I80-H1_15min_Wh[[#This Row],[Column2]]+H1_15min_Wh[[#This Row],[Column3]]</f>
        <v>#VALUE!</v>
      </c>
      <c r="K81" t="e">
        <f>H1_15min_Wh[[#This Row],[Column2]]-H1_15min_Wh[[#This Row],[Column3]]-H1_15min_Wh[[#This Row],[Column6]]+H1_15min_Wh[[#This Row],[Column7]]</f>
        <v>#VALUE!</v>
      </c>
    </row>
    <row r="82" spans="1:11" x14ac:dyDescent="0.2">
      <c r="A82" t="s">
        <v>33</v>
      </c>
      <c r="B82" t="s">
        <v>10</v>
      </c>
      <c r="C82" t="s">
        <v>10</v>
      </c>
      <c r="D82" t="s">
        <v>10</v>
      </c>
      <c r="E82" t="s">
        <v>72</v>
      </c>
      <c r="F82" t="s">
        <v>10</v>
      </c>
      <c r="G82" t="s">
        <v>72</v>
      </c>
      <c r="I82" t="e">
        <f>I81-H1_15min_Wh[[#This Row],[Column2]]+H1_15min_Wh[[#This Row],[Column3]]</f>
        <v>#VALUE!</v>
      </c>
      <c r="K82" t="e">
        <f>H1_15min_Wh[[#This Row],[Column2]]-H1_15min_Wh[[#This Row],[Column3]]-H1_15min_Wh[[#This Row],[Column6]]+H1_15min_Wh[[#This Row],[Column7]]</f>
        <v>#VALUE!</v>
      </c>
    </row>
    <row r="83" spans="1:11" x14ac:dyDescent="0.2">
      <c r="A83" t="s">
        <v>211</v>
      </c>
      <c r="B83" t="s">
        <v>10</v>
      </c>
      <c r="C83" t="s">
        <v>10</v>
      </c>
      <c r="D83" t="s">
        <v>10</v>
      </c>
      <c r="E83" t="s">
        <v>72</v>
      </c>
      <c r="F83" t="s">
        <v>10</v>
      </c>
      <c r="G83" t="s">
        <v>72</v>
      </c>
      <c r="I83" t="e">
        <f>I82-H1_15min_Wh[[#This Row],[Column2]]+H1_15min_Wh[[#This Row],[Column3]]</f>
        <v>#VALUE!</v>
      </c>
      <c r="K83" t="e">
        <f>H1_15min_Wh[[#This Row],[Column2]]-H1_15min_Wh[[#This Row],[Column3]]-H1_15min_Wh[[#This Row],[Column6]]+H1_15min_Wh[[#This Row],[Column7]]</f>
        <v>#VALUE!</v>
      </c>
    </row>
    <row r="84" spans="1:11" x14ac:dyDescent="0.2">
      <c r="A84" t="s">
        <v>212</v>
      </c>
      <c r="B84" t="s">
        <v>10</v>
      </c>
      <c r="C84" t="s">
        <v>10</v>
      </c>
      <c r="D84" t="s">
        <v>10</v>
      </c>
      <c r="E84" t="s">
        <v>213</v>
      </c>
      <c r="F84" t="s">
        <v>10</v>
      </c>
      <c r="G84" t="s">
        <v>213</v>
      </c>
      <c r="H84">
        <v>20</v>
      </c>
      <c r="I84" t="e">
        <f>I83-H1_15min_Wh[[#This Row],[Column2]]+H1_15min_Wh[[#This Row],[Column3]]</f>
        <v>#VALUE!</v>
      </c>
      <c r="K84" t="e">
        <f>H1_15min_Wh[[#This Row],[Column2]]-H1_15min_Wh[[#This Row],[Column3]]-H1_15min_Wh[[#This Row],[Column6]]+H1_15min_Wh[[#This Row],[Column7]]</f>
        <v>#VALUE!</v>
      </c>
    </row>
    <row r="85" spans="1:11" x14ac:dyDescent="0.2">
      <c r="A85" t="s">
        <v>215</v>
      </c>
      <c r="B85" t="s">
        <v>10</v>
      </c>
      <c r="C85" t="s">
        <v>10</v>
      </c>
      <c r="D85" t="s">
        <v>10</v>
      </c>
      <c r="E85" t="s">
        <v>195</v>
      </c>
      <c r="F85" t="s">
        <v>10</v>
      </c>
      <c r="G85" t="s">
        <v>195</v>
      </c>
      <c r="I85" t="e">
        <f>I84-H1_15min_Wh[[#This Row],[Column2]]+H1_15min_Wh[[#This Row],[Column3]]</f>
        <v>#VALUE!</v>
      </c>
      <c r="K85" t="e">
        <f>H1_15min_Wh[[#This Row],[Column2]]-H1_15min_Wh[[#This Row],[Column3]]-H1_15min_Wh[[#This Row],[Column6]]+H1_15min_Wh[[#This Row],[Column7]]</f>
        <v>#VALUE!</v>
      </c>
    </row>
    <row r="86" spans="1:11" x14ac:dyDescent="0.2">
      <c r="A86" t="s">
        <v>34</v>
      </c>
      <c r="B86" t="s">
        <v>10</v>
      </c>
      <c r="C86" t="s">
        <v>10</v>
      </c>
      <c r="D86" t="s">
        <v>10</v>
      </c>
      <c r="E86" t="s">
        <v>69</v>
      </c>
      <c r="F86" t="s">
        <v>10</v>
      </c>
      <c r="G86" t="s">
        <v>69</v>
      </c>
      <c r="I86" t="e">
        <f>I85-H1_15min_Wh[[#This Row],[Column2]]+H1_15min_Wh[[#This Row],[Column3]]</f>
        <v>#VALUE!</v>
      </c>
      <c r="K86" t="e">
        <f>H1_15min_Wh[[#This Row],[Column2]]-H1_15min_Wh[[#This Row],[Column3]]-H1_15min_Wh[[#This Row],[Column6]]+H1_15min_Wh[[#This Row],[Column7]]</f>
        <v>#VALUE!</v>
      </c>
    </row>
    <row r="87" spans="1:11" x14ac:dyDescent="0.2">
      <c r="A87" t="s">
        <v>218</v>
      </c>
      <c r="B87" t="s">
        <v>10</v>
      </c>
      <c r="C87" t="s">
        <v>10</v>
      </c>
      <c r="D87" t="s">
        <v>10</v>
      </c>
      <c r="E87" t="s">
        <v>219</v>
      </c>
      <c r="F87" t="s">
        <v>10</v>
      </c>
      <c r="G87" t="s">
        <v>219</v>
      </c>
      <c r="I87" t="e">
        <f>I86-H1_15min_Wh[[#This Row],[Column2]]+H1_15min_Wh[[#This Row],[Column3]]</f>
        <v>#VALUE!</v>
      </c>
      <c r="K87" t="e">
        <f>H1_15min_Wh[[#This Row],[Column2]]-H1_15min_Wh[[#This Row],[Column3]]-H1_15min_Wh[[#This Row],[Column6]]+H1_15min_Wh[[#This Row],[Column7]]</f>
        <v>#VALUE!</v>
      </c>
    </row>
    <row r="88" spans="1:11" x14ac:dyDescent="0.2">
      <c r="A88" t="s">
        <v>221</v>
      </c>
      <c r="B88" t="s">
        <v>10</v>
      </c>
      <c r="C88" t="s">
        <v>10</v>
      </c>
      <c r="D88" t="s">
        <v>10</v>
      </c>
      <c r="E88" t="s">
        <v>155</v>
      </c>
      <c r="F88" t="s">
        <v>10</v>
      </c>
      <c r="G88" t="s">
        <v>155</v>
      </c>
      <c r="I88" t="e">
        <f>I87-H1_15min_Wh[[#This Row],[Column2]]+H1_15min_Wh[[#This Row],[Column3]]</f>
        <v>#VALUE!</v>
      </c>
      <c r="K88" t="e">
        <f>H1_15min_Wh[[#This Row],[Column2]]-H1_15min_Wh[[#This Row],[Column3]]-H1_15min_Wh[[#This Row],[Column6]]+H1_15min_Wh[[#This Row],[Column7]]</f>
        <v>#VALUE!</v>
      </c>
    </row>
    <row r="89" spans="1:11" x14ac:dyDescent="0.2">
      <c r="A89" t="s">
        <v>222</v>
      </c>
      <c r="B89" t="s">
        <v>10</v>
      </c>
      <c r="C89" t="s">
        <v>10</v>
      </c>
      <c r="D89" t="s">
        <v>10</v>
      </c>
      <c r="E89" t="s">
        <v>223</v>
      </c>
      <c r="F89" t="s">
        <v>10</v>
      </c>
      <c r="G89" t="s">
        <v>223</v>
      </c>
      <c r="I89" t="e">
        <f>I88-H1_15min_Wh[[#This Row],[Column2]]+H1_15min_Wh[[#This Row],[Column3]]</f>
        <v>#VALUE!</v>
      </c>
      <c r="K89" t="e">
        <f>H1_15min_Wh[[#This Row],[Column2]]-H1_15min_Wh[[#This Row],[Column3]]-H1_15min_Wh[[#This Row],[Column6]]+H1_15min_Wh[[#This Row],[Column7]]</f>
        <v>#VALUE!</v>
      </c>
    </row>
    <row r="90" spans="1:11" x14ac:dyDescent="0.2">
      <c r="A90" t="s">
        <v>35</v>
      </c>
      <c r="B90" t="s">
        <v>10</v>
      </c>
      <c r="C90" t="s">
        <v>10</v>
      </c>
      <c r="D90" t="s">
        <v>10</v>
      </c>
      <c r="E90" t="s">
        <v>226</v>
      </c>
      <c r="F90" t="s">
        <v>10</v>
      </c>
      <c r="G90" t="s">
        <v>226</v>
      </c>
      <c r="I90" t="e">
        <f>I89-H1_15min_Wh[[#This Row],[Column2]]+H1_15min_Wh[[#This Row],[Column3]]</f>
        <v>#VALUE!</v>
      </c>
      <c r="K90" t="e">
        <f>H1_15min_Wh[[#This Row],[Column2]]-H1_15min_Wh[[#This Row],[Column3]]-H1_15min_Wh[[#This Row],[Column6]]+H1_15min_Wh[[#This Row],[Column7]]</f>
        <v>#VALUE!</v>
      </c>
    </row>
    <row r="91" spans="1:11" x14ac:dyDescent="0.2">
      <c r="A91" t="s">
        <v>227</v>
      </c>
      <c r="B91" t="s">
        <v>10</v>
      </c>
      <c r="C91" t="s">
        <v>10</v>
      </c>
      <c r="D91" t="s">
        <v>10</v>
      </c>
      <c r="E91" t="s">
        <v>59</v>
      </c>
      <c r="F91" t="s">
        <v>10</v>
      </c>
      <c r="G91" t="s">
        <v>59</v>
      </c>
      <c r="I91" t="e">
        <f>I90-H1_15min_Wh[[#This Row],[Column2]]+H1_15min_Wh[[#This Row],[Column3]]</f>
        <v>#VALUE!</v>
      </c>
      <c r="K91" t="e">
        <f>H1_15min_Wh[[#This Row],[Column2]]-H1_15min_Wh[[#This Row],[Column3]]-H1_15min_Wh[[#This Row],[Column6]]+H1_15min_Wh[[#This Row],[Column7]]</f>
        <v>#VALUE!</v>
      </c>
    </row>
    <row r="92" spans="1:11" x14ac:dyDescent="0.2">
      <c r="A92" t="s">
        <v>228</v>
      </c>
      <c r="B92" t="s">
        <v>10</v>
      </c>
      <c r="C92" t="s">
        <v>10</v>
      </c>
      <c r="D92" t="s">
        <v>10</v>
      </c>
      <c r="E92" t="s">
        <v>226</v>
      </c>
      <c r="F92" t="s">
        <v>10</v>
      </c>
      <c r="G92" t="s">
        <v>226</v>
      </c>
      <c r="I92" t="e">
        <f>I91-H1_15min_Wh[[#This Row],[Column2]]+H1_15min_Wh[[#This Row],[Column3]]</f>
        <v>#VALUE!</v>
      </c>
      <c r="K92" t="e">
        <f>H1_15min_Wh[[#This Row],[Column2]]-H1_15min_Wh[[#This Row],[Column3]]-H1_15min_Wh[[#This Row],[Column6]]+H1_15min_Wh[[#This Row],[Column7]]</f>
        <v>#VALUE!</v>
      </c>
    </row>
    <row r="93" spans="1:11" x14ac:dyDescent="0.2">
      <c r="A93" t="s">
        <v>229</v>
      </c>
      <c r="B93" t="s">
        <v>10</v>
      </c>
      <c r="C93" t="s">
        <v>10</v>
      </c>
      <c r="D93" t="s">
        <v>10</v>
      </c>
      <c r="E93" t="s">
        <v>230</v>
      </c>
      <c r="F93" t="s">
        <v>10</v>
      </c>
      <c r="G93" t="s">
        <v>230</v>
      </c>
      <c r="I93" t="e">
        <f>I92-H1_15min_Wh[[#This Row],[Column2]]+H1_15min_Wh[[#This Row],[Column3]]</f>
        <v>#VALUE!</v>
      </c>
      <c r="K93" t="e">
        <f>H1_15min_Wh[[#This Row],[Column2]]-H1_15min_Wh[[#This Row],[Column3]]-H1_15min_Wh[[#This Row],[Column6]]+H1_15min_Wh[[#This Row],[Column7]]</f>
        <v>#VALUE!</v>
      </c>
    </row>
    <row r="94" spans="1:11" x14ac:dyDescent="0.2">
      <c r="A94" t="s">
        <v>246</v>
      </c>
      <c r="B94" t="s">
        <v>10</v>
      </c>
      <c r="C94" t="s">
        <v>10</v>
      </c>
      <c r="D94" t="s">
        <v>10</v>
      </c>
      <c r="E94" t="s">
        <v>219</v>
      </c>
      <c r="F94" t="s">
        <v>10</v>
      </c>
      <c r="G94" t="s">
        <v>219</v>
      </c>
      <c r="I94" t="e">
        <f>I93-H1_15min_Wh[[#This Row],[Column2]]+H1_15min_Wh[[#This Row],[Column3]]</f>
        <v>#VALUE!</v>
      </c>
      <c r="K94" t="e">
        <f>H1_15min_Wh[[#This Row],[Column2]]-H1_15min_Wh[[#This Row],[Column3]]-H1_15min_Wh[[#This Row],[Column6]]+H1_15min_Wh[[#This Row],[Column7]]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104A-7D21-F540-8E28-D06B1C29C8F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3CE96EC1-1729-0D42-A77F-3ADA04A773CB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H1 (2)</vt:lpstr>
      <vt:lpstr>H1</vt:lpstr>
      <vt:lpstr>2020-01-01_Wh_original</vt:lpstr>
      <vt:lpstr>2020-01-01_Wh_results</vt:lpstr>
      <vt:lpstr>2020-01-01_Wh_results_limits</vt:lpstr>
      <vt:lpstr>2020-01-01_Wh_15min_original</vt:lpstr>
      <vt:lpstr>H1_15min_Wh_results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Reale</dc:creator>
  <cp:lastModifiedBy>Kristian Reale</cp:lastModifiedBy>
  <dcterms:created xsi:type="dcterms:W3CDTF">2025-02-25T10:01:44Z</dcterms:created>
  <dcterms:modified xsi:type="dcterms:W3CDTF">2025-05-14T17:42:04Z</dcterms:modified>
</cp:coreProperties>
</file>
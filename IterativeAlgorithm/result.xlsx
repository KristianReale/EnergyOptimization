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/>
  <mc:AlternateContent xmlns:mc="http://schemas.openxmlformats.org/markup-compatibility/2006">
    <mc:Choice Requires="x15">
      <x15ac:absPath xmlns:x15ac="http://schemas.microsoft.com/office/spreadsheetml/2010/11/ac" url="/Users/kristian/PycharmProjects/EnergyOptimization/IterativeAlgorithm/"/>
    </mc:Choice>
  </mc:AlternateContent>
  <xr:revisionPtr revIDLastSave="0" documentId="13_ncr:1_{D8E8490E-2385-2E4C-9FB8-ABCF38A7CF7A}" xr6:coauthVersionLast="47" xr6:coauthVersionMax="47" xr10:uidLastSave="{00000000-0000-0000-0000-000000000000}"/>
  <bookViews>
    <workbookView xWindow="5120" yWindow="4920" windowWidth="38400" windowHeight="18360" xr2:uid="{00000000-000D-0000-FFFF-FFFF00000000}"/>
  </bookViews>
  <sheets>
    <sheet name="Variables" sheetId="1" r:id="rId1"/>
    <sheet name="Summary" sheetId="2" r:id="rId2"/>
    <sheet name="RawJS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G27" i="1"/>
  <c r="H26" i="1"/>
  <c r="E26" i="1"/>
  <c r="D26" i="1"/>
  <c r="I26" i="1"/>
  <c r="G26" i="1"/>
</calcChain>
</file>

<file path=xl/sharedStrings.xml><?xml version="1.0" encoding="utf-8"?>
<sst xmlns="http://schemas.openxmlformats.org/spreadsheetml/2006/main" count="15" uniqueCount="15">
  <si>
    <t>Hour</t>
  </si>
  <si>
    <t>E_bt</t>
  </si>
  <si>
    <t>E_hss</t>
  </si>
  <si>
    <t>P_b_ch</t>
  </si>
  <si>
    <t>P_b_dc</t>
  </si>
  <si>
    <t>P_el_out</t>
  </si>
  <si>
    <t>P_exp</t>
  </si>
  <si>
    <t>P_fc_out</t>
  </si>
  <si>
    <t>P_imp</t>
  </si>
  <si>
    <t>key</t>
  </si>
  <si>
    <t>value</t>
  </si>
  <si>
    <t>computation_time</t>
  </si>
  <si>
    <t>objective_function</t>
  </si>
  <si>
    <t>json_pretty</t>
  </si>
  <si>
    <t>{
  "computation_time": 0.06940197944641113,
  "objective_function": 0.72523036833441,
  "variables": {
    "E_bt": [
      60.0,
      59.88829052631582,
      59.88829052631582,
      60.010405894736714,
      59.2815016842104,
      58.43408168421042,
      57.4858337894736,
      56.52623534999994,
      56.52623534999994,
      20.227706763157897,
      20.227706763157897,
      42.8048577631579,
      72.03592960526315,
      77.83148244736842,
      92.35202260526316,
      94.34047007894736,
      97.21104489473684,
      97.39472321052632,
      100.0,
      100.0,
      67.97562934210526,
      37.50660513157895,
      20.0,
      20.0
    ],
    "E_hss": [
      120.0,
      112.30769230769232,
      104.96618234817812,
      97.69230769230792,
      90.0,
      82.30769230769249,
      74.61538461538476,
      66.92307692307702,
      59.23076923076928,
      51.53846153846154,
      43.84615384615384,
      38.46153846153845,
      38.46153846153845,
      38.46153846153845,
      38.46153846153845,
      38.46153846153845,
      38.46153846153845,
      38.46153846153845,
      38.46153846153845,
      30.76923076923076,
      23.07692307692307,
      15.384615384615378,
      7.692307692307686,
      0.0
    ],
    "P_b_ch": [
      0.0,
      0.0,
      0.1221153684208911,
      0.0,
      0.0,
      0.0,
      0.0,
      0.0,
      0.0,
      0.0,
      22.577150999999997,
      29.23107184210525,
      5.795552842105266,
      14.520540157894743,
      1.9884474736842037,
      2.8705748157894817,
      0.18367831578947502,
      2.605276789473684,
      0.0,
      0.0,
      0.0,
      0.0,
      0.0,
      0.0
    ],
    "P_b_dc": [
      0.1117094736841764,
      0.0,
      0.0,
      0.728904210526319,
      0.8474199999999783,
      0.9482478947368129,
      0.9595984394736616,
      0.0,
      36.298528586842046,
      0.0,
      0.0,
      0.0,
      0.0,
      0.0,
      0.0,
      0.0,
      0.0,
      0.0,
      0.0,
      32.024370657894735,
      30.469024210526314,
      17.50660513157895,
      0.0,
      100.0
    ],
    "P_el_out": [
      0.0,
      0.0,
      0.0,
      0.0,
      0.0,
      0.0,
      0.0,
      0.0,
      0.0,
      0.0,
      0.0,
      0.0,
      0.0,
      0.0,
      0.0,
      0.0,
      0.0,
      0.0,
      0.0,
      0.0,
      0.0,
      0.0,
      0.0,
      0.0
    ],
    "P_exp": [
      0.0,
      0.0,
      0.0,
      0.0,
      0.0,
      0.0,
      0.0,
      0.4236130300000276,
      23.03619870749997,
      23.228009000000007,
      0.0,
      8.881784197001252e-15,
      0.0,
      0.0,
      0.0,
      0.0,
      0.0,
      0.0,
      0.0,
      7.105427357601002e-15,
      0.0,
      0.0,
      0.0,
      85.548391
    ],
    "P_fc_out": [
      5.0,
      4.771981473684209,
      4.728018526315627,
      5.0,
      5.0,
      5.0,
      5.0,
      5.0,
      5.0,
      5.0,
      3.5,
      0.0,
      0.0,
      0.0,
      0.0,
      0.0,
      0.0,
      0.0,
      5.0,
      5.0,
      5.0,
      5.0,
      5.0,
      0.0
    ],
    "P_imp": [
      0.0,
      0.0,
      0.0,
      0.0,
      0.0,
      0.0,
      0.0,
      0.0,
      0.0,
      0.0,
      0.0,
      0.0,
      0.0,
      0.0,
      0.0,
      0.0,
      0.0,
      0.0,
      3.63551586,
      0.0,
      0.0,
      7.806868124999994,
      5.623843000000001,
      0.0
    ]
  }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</si>
</sst>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"/>
  <sheetViews>
    <sheetView tabSelected="1" workbookViewId="0">
      <selection activeCell="E29" sqref="E29"/>
    </sheetView>
  </sheetViews>
  <sheetFormatPr baseColWidth="10" defaultColWidth="8.83203125" defaultRowHeight="15" x14ac:dyDescent="0.2"/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>
        <v>1</v>
      </c>
      <c r="B2">
        <v>60</v>
      </c>
      <c r="C2">
        <v>120</v>
      </c>
      <c r="D2">
        <v>0</v>
      </c>
      <c r="E2">
        <v>0.1117094736841764</v>
      </c>
      <c r="F2">
        <v>0</v>
      </c>
      <c r="G2">
        <v>0</v>
      </c>
      <c r="H2">
        <v>5</v>
      </c>
      <c r="I2">
        <v>0</v>
      </c>
    </row>
    <row r="3" spans="1:9" x14ac:dyDescent="0.2">
      <c r="A3">
        <v>2</v>
      </c>
      <c r="B3">
        <v>59.888290526315821</v>
      </c>
      <c r="C3">
        <v>112.30769230769231</v>
      </c>
      <c r="D3">
        <v>0</v>
      </c>
      <c r="E3">
        <v>0</v>
      </c>
      <c r="F3">
        <v>0</v>
      </c>
      <c r="G3">
        <v>0</v>
      </c>
      <c r="H3">
        <v>4.7719814736842094</v>
      </c>
      <c r="I3">
        <v>0</v>
      </c>
    </row>
    <row r="4" spans="1:9" x14ac:dyDescent="0.2">
      <c r="A4">
        <v>3</v>
      </c>
      <c r="B4">
        <v>59.888290526315821</v>
      </c>
      <c r="C4">
        <v>104.96618234817809</v>
      </c>
      <c r="D4">
        <v>0.1221153684208911</v>
      </c>
      <c r="E4">
        <v>0</v>
      </c>
      <c r="F4">
        <v>0</v>
      </c>
      <c r="G4">
        <v>0</v>
      </c>
      <c r="H4">
        <v>4.7280185263156271</v>
      </c>
      <c r="I4">
        <v>0</v>
      </c>
    </row>
    <row r="5" spans="1:9" x14ac:dyDescent="0.2">
      <c r="A5">
        <v>4</v>
      </c>
      <c r="B5">
        <v>60.010405894736707</v>
      </c>
      <c r="C5">
        <v>97.692307692307921</v>
      </c>
      <c r="D5">
        <v>0</v>
      </c>
      <c r="E5">
        <v>0.72890421052631904</v>
      </c>
      <c r="F5">
        <v>0</v>
      </c>
      <c r="G5">
        <v>0</v>
      </c>
      <c r="H5">
        <v>5</v>
      </c>
      <c r="I5">
        <v>0</v>
      </c>
    </row>
    <row r="6" spans="1:9" x14ac:dyDescent="0.2">
      <c r="A6">
        <v>5</v>
      </c>
      <c r="B6">
        <v>59.281501684210397</v>
      </c>
      <c r="C6">
        <v>90</v>
      </c>
      <c r="D6">
        <v>0</v>
      </c>
      <c r="E6">
        <v>0.8474199999999783</v>
      </c>
      <c r="F6">
        <v>0</v>
      </c>
      <c r="G6">
        <v>0</v>
      </c>
      <c r="H6">
        <v>5</v>
      </c>
      <c r="I6">
        <v>0</v>
      </c>
    </row>
    <row r="7" spans="1:9" x14ac:dyDescent="0.2">
      <c r="A7">
        <v>6</v>
      </c>
      <c r="B7">
        <v>58.434081684210419</v>
      </c>
      <c r="C7">
        <v>82.307692307692491</v>
      </c>
      <c r="D7">
        <v>0</v>
      </c>
      <c r="E7">
        <v>0.94824789473681292</v>
      </c>
      <c r="F7">
        <v>0</v>
      </c>
      <c r="G7">
        <v>0</v>
      </c>
      <c r="H7">
        <v>5</v>
      </c>
      <c r="I7">
        <v>0</v>
      </c>
    </row>
    <row r="8" spans="1:9" x14ac:dyDescent="0.2">
      <c r="A8">
        <v>7</v>
      </c>
      <c r="B8">
        <v>57.485833789473602</v>
      </c>
      <c r="C8">
        <v>74.615384615384755</v>
      </c>
      <c r="D8">
        <v>0</v>
      </c>
      <c r="E8">
        <v>0.95959843947366164</v>
      </c>
      <c r="F8">
        <v>0</v>
      </c>
      <c r="G8">
        <v>0</v>
      </c>
      <c r="H8">
        <v>5</v>
      </c>
      <c r="I8">
        <v>0</v>
      </c>
    </row>
    <row r="9" spans="1:9" x14ac:dyDescent="0.2">
      <c r="A9">
        <v>8</v>
      </c>
      <c r="B9">
        <v>56.526235349999943</v>
      </c>
      <c r="C9">
        <v>66.923076923077019</v>
      </c>
      <c r="D9">
        <v>0</v>
      </c>
      <c r="E9">
        <v>0</v>
      </c>
      <c r="F9">
        <v>0</v>
      </c>
      <c r="G9">
        <v>0.42361303000002759</v>
      </c>
      <c r="H9">
        <v>5</v>
      </c>
      <c r="I9">
        <v>0</v>
      </c>
    </row>
    <row r="10" spans="1:9" x14ac:dyDescent="0.2">
      <c r="A10">
        <v>9</v>
      </c>
      <c r="B10">
        <v>56.526235349999943</v>
      </c>
      <c r="C10">
        <v>59.230769230769283</v>
      </c>
      <c r="D10">
        <v>0</v>
      </c>
      <c r="E10">
        <v>36.298528586842053</v>
      </c>
      <c r="F10">
        <v>0</v>
      </c>
      <c r="G10">
        <v>23.03619870749997</v>
      </c>
      <c r="H10">
        <v>5</v>
      </c>
      <c r="I10">
        <v>0</v>
      </c>
    </row>
    <row r="11" spans="1:9" x14ac:dyDescent="0.2">
      <c r="A11">
        <v>10</v>
      </c>
      <c r="B11">
        <v>20.227706763157901</v>
      </c>
      <c r="C11">
        <v>51.53846153846154</v>
      </c>
      <c r="D11">
        <v>0</v>
      </c>
      <c r="E11">
        <v>0</v>
      </c>
      <c r="F11">
        <v>0</v>
      </c>
      <c r="G11">
        <v>23.228009000000011</v>
      </c>
      <c r="H11">
        <v>5</v>
      </c>
      <c r="I11">
        <v>0</v>
      </c>
    </row>
    <row r="12" spans="1:9" x14ac:dyDescent="0.2">
      <c r="A12">
        <v>11</v>
      </c>
      <c r="B12">
        <v>20.227706763157901</v>
      </c>
      <c r="C12">
        <v>43.84615384615384</v>
      </c>
      <c r="D12">
        <v>22.577151000000001</v>
      </c>
      <c r="E12">
        <v>0</v>
      </c>
      <c r="F12">
        <v>0</v>
      </c>
      <c r="G12">
        <v>0</v>
      </c>
      <c r="H12">
        <v>3.5</v>
      </c>
      <c r="I12">
        <v>0</v>
      </c>
    </row>
    <row r="13" spans="1:9" x14ac:dyDescent="0.2">
      <c r="A13">
        <v>12</v>
      </c>
      <c r="B13">
        <v>42.804857763157898</v>
      </c>
      <c r="C13">
        <v>38.461538461538453</v>
      </c>
      <c r="D13">
        <v>29.231071842105251</v>
      </c>
      <c r="E13">
        <v>0</v>
      </c>
      <c r="F13">
        <v>0</v>
      </c>
      <c r="G13">
        <v>8.8817841970012523E-15</v>
      </c>
      <c r="H13">
        <v>0</v>
      </c>
      <c r="I13">
        <v>0</v>
      </c>
    </row>
    <row r="14" spans="1:9" x14ac:dyDescent="0.2">
      <c r="A14">
        <v>13</v>
      </c>
      <c r="B14">
        <v>72.035929605263149</v>
      </c>
      <c r="C14">
        <v>38.461538461538453</v>
      </c>
      <c r="D14">
        <v>5.7955528421052662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2">
      <c r="A15">
        <v>14</v>
      </c>
      <c r="B15">
        <v>77.831482447368415</v>
      </c>
      <c r="C15">
        <v>38.461538461538453</v>
      </c>
      <c r="D15">
        <v>14.52054015789474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2">
      <c r="A16">
        <v>15</v>
      </c>
      <c r="B16">
        <v>92.352022605263159</v>
      </c>
      <c r="C16">
        <v>38.461538461538453</v>
      </c>
      <c r="D16">
        <v>1.9884474736842039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">
      <c r="A17">
        <v>16</v>
      </c>
      <c r="B17">
        <v>94.340470078947362</v>
      </c>
      <c r="C17">
        <v>38.461538461538453</v>
      </c>
      <c r="D17">
        <v>2.8705748157894821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">
      <c r="A18">
        <v>17</v>
      </c>
      <c r="B18">
        <v>97.211044894736844</v>
      </c>
      <c r="C18">
        <v>38.461538461538453</v>
      </c>
      <c r="D18">
        <v>0.18367831578947499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">
      <c r="A19">
        <v>18</v>
      </c>
      <c r="B19">
        <v>97.394723210526323</v>
      </c>
      <c r="C19">
        <v>38.461538461538453</v>
      </c>
      <c r="D19">
        <v>2.6052767894736841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">
      <c r="A20">
        <v>19</v>
      </c>
      <c r="B20">
        <v>100</v>
      </c>
      <c r="C20">
        <v>38.461538461538453</v>
      </c>
      <c r="D20">
        <v>0</v>
      </c>
      <c r="E20">
        <v>0</v>
      </c>
      <c r="F20">
        <v>0</v>
      </c>
      <c r="G20">
        <v>0</v>
      </c>
      <c r="H20">
        <v>5</v>
      </c>
      <c r="I20">
        <v>3.6355158599999999</v>
      </c>
    </row>
    <row r="21" spans="1:9" x14ac:dyDescent="0.2">
      <c r="A21">
        <v>20</v>
      </c>
      <c r="B21">
        <v>100</v>
      </c>
      <c r="C21">
        <v>30.769230769230759</v>
      </c>
      <c r="D21">
        <v>0</v>
      </c>
      <c r="E21">
        <v>32.024370657894742</v>
      </c>
      <c r="F21">
        <v>0</v>
      </c>
      <c r="G21">
        <v>7.1054273576010019E-15</v>
      </c>
      <c r="H21">
        <v>5</v>
      </c>
      <c r="I21">
        <v>0</v>
      </c>
    </row>
    <row r="22" spans="1:9" x14ac:dyDescent="0.2">
      <c r="A22">
        <v>21</v>
      </c>
      <c r="B22">
        <v>67.975629342105265</v>
      </c>
      <c r="C22">
        <v>23.07692307692307</v>
      </c>
      <c r="D22">
        <v>0</v>
      </c>
      <c r="E22">
        <v>30.46902421052631</v>
      </c>
      <c r="F22">
        <v>0</v>
      </c>
      <c r="G22">
        <v>0</v>
      </c>
      <c r="H22">
        <v>5</v>
      </c>
      <c r="I22">
        <v>0</v>
      </c>
    </row>
    <row r="23" spans="1:9" x14ac:dyDescent="0.2">
      <c r="A23">
        <v>22</v>
      </c>
      <c r="B23">
        <v>37.506605131578951</v>
      </c>
      <c r="C23">
        <v>15.38461538461538</v>
      </c>
      <c r="D23">
        <v>0</v>
      </c>
      <c r="E23">
        <v>17.506605131578951</v>
      </c>
      <c r="F23">
        <v>0</v>
      </c>
      <c r="G23">
        <v>0</v>
      </c>
      <c r="H23">
        <v>5</v>
      </c>
      <c r="I23">
        <v>7.8068681249999941</v>
      </c>
    </row>
    <row r="24" spans="1:9" x14ac:dyDescent="0.2">
      <c r="A24">
        <v>23</v>
      </c>
      <c r="B24">
        <v>20</v>
      </c>
      <c r="C24">
        <v>7.6923076923076863</v>
      </c>
      <c r="D24">
        <v>0</v>
      </c>
      <c r="E24">
        <v>0</v>
      </c>
      <c r="F24">
        <v>0</v>
      </c>
      <c r="G24">
        <v>0</v>
      </c>
      <c r="H24">
        <v>5</v>
      </c>
      <c r="I24">
        <v>5.6238430000000008</v>
      </c>
    </row>
    <row r="25" spans="1:9" x14ac:dyDescent="0.2">
      <c r="A25">
        <v>24</v>
      </c>
      <c r="B25">
        <v>20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 x14ac:dyDescent="0.2">
      <c r="D26">
        <f>SUM(D2:D25)</f>
        <v>79.894408605262996</v>
      </c>
      <c r="E26">
        <f>SUM(E2:E25)</f>
        <v>119.89440860526301</v>
      </c>
      <c r="G26">
        <f>SUM(G2:G25)</f>
        <v>46.687820737500019</v>
      </c>
      <c r="H26">
        <f>SUM(H2:H25)</f>
        <v>77.999999999999829</v>
      </c>
      <c r="I26">
        <f>SUM(I2:I25)</f>
        <v>17.066226984999993</v>
      </c>
    </row>
    <row r="27" spans="1:9" x14ac:dyDescent="0.2">
      <c r="G27">
        <f>G26+H26</f>
        <v>124.68782073749985</v>
      </c>
    </row>
    <row r="28" spans="1:9" x14ac:dyDescent="0.2">
      <c r="E28">
        <f>E26-D26</f>
        <v>40.000000000000014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/>
  </sheetViews>
  <sheetFormatPr baseColWidth="10" defaultColWidth="8.83203125" defaultRowHeight="15" x14ac:dyDescent="0.2"/>
  <sheetData>
    <row r="1" spans="1:2" x14ac:dyDescent="0.2">
      <c r="A1" s="1" t="s">
        <v>9</v>
      </c>
      <c r="B1" s="1" t="s">
        <v>10</v>
      </c>
    </row>
    <row r="2" spans="1:2" x14ac:dyDescent="0.2">
      <c r="A2" t="s">
        <v>11</v>
      </c>
      <c r="B2">
        <v>6.9401979446411133E-2</v>
      </c>
    </row>
    <row r="3" spans="1:2" x14ac:dyDescent="0.2">
      <c r="A3" t="s">
        <v>12</v>
      </c>
      <c r="B3">
        <v>0.72523036833441001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s="1" t="s">
        <v>13</v>
      </c>
    </row>
    <row r="2" spans="1:1" x14ac:dyDescent="0.2">
      <c r="A2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Variables</vt:lpstr>
      <vt:lpstr>Summary</vt:lpstr>
      <vt:lpstr>RawJSON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Kristian Reale</cp:lastModifiedBy>
  <dcterms:created xsi:type="dcterms:W3CDTF">2026-01-08T16:29:15Z</dcterms:created>
  <dcterms:modified xsi:type="dcterms:W3CDTF">2026-01-08T17:27:12Z</dcterms:modified>
</cp:coreProperties>
</file>
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2"/>
  <workbookPr/>
  <mc:AlternateContent xmlns:mc="http://schemas.openxmlformats.org/markup-compatibility/2006">
    <mc:Choice Requires="x15">
      <x15ac:absPath xmlns:x15ac="http://schemas.microsoft.com/office/spreadsheetml/2010/11/ac" url="/Users/kristian/PycharmProjects/EnergyOptimization/DatasetUnical/ResultsClingcon/truecons-trueprod/"/>
    </mc:Choice>
  </mc:AlternateContent>
  <xr:revisionPtr revIDLastSave="0" documentId="13_ncr:1_{C729CBF4-05A9-DD48-A1A1-56DEEEE5C04C}" xr6:coauthVersionLast="47" xr6:coauthVersionMax="47" xr10:uidLastSave="{00000000-0000-0000-0000-000000000000}"/>
  <bookViews>
    <workbookView xWindow="0" yWindow="500" windowWidth="38400" windowHeight="19460" firstSheet="3" activeTab="11" xr2:uid="{00000000-000D-0000-FFFF-FFFF00000000}"/>
  </bookViews>
  <sheets>
    <sheet name="2023-08-21" sheetId="1" r:id="rId1"/>
    <sheet name="2023-08-22" sheetId="2" r:id="rId2"/>
    <sheet name="2023-08-23" sheetId="3" r:id="rId3"/>
    <sheet name="2023-08-24" sheetId="4" r:id="rId4"/>
    <sheet name="2023-08-25" sheetId="5" r:id="rId5"/>
    <sheet name="2023-08-26" sheetId="6" r:id="rId6"/>
    <sheet name="2023-08-27" sheetId="7" r:id="rId7"/>
    <sheet name="2023-08-28" sheetId="8" r:id="rId8"/>
    <sheet name="2023-08-29" sheetId="9" r:id="rId9"/>
    <sheet name="2023-08-30" sheetId="10" r:id="rId10"/>
    <sheet name="2023-08-31" sheetId="11" r:id="rId11"/>
    <sheet name="2023-09-21" sheetId="12" r:id="rId12"/>
    <sheet name="2023-09-22" sheetId="13" r:id="rId13"/>
    <sheet name="2023-09-23" sheetId="14" r:id="rId14"/>
    <sheet name="2023-09-24" sheetId="15" r:id="rId15"/>
    <sheet name="2023-09-25" sheetId="16" r:id="rId16"/>
    <sheet name="2023-09-26" sheetId="17" r:id="rId17"/>
    <sheet name="2023-09-27" sheetId="18" r:id="rId18"/>
    <sheet name="Foglio1" sheetId="53" r:id="rId19"/>
    <sheet name="Foglio2" sheetId="54" r:id="rId20"/>
    <sheet name="Foglio3" sheetId="55" r:id="rId21"/>
    <sheet name="Foglio4" sheetId="56" r:id="rId22"/>
    <sheet name="2023-09-28" sheetId="19" r:id="rId23"/>
    <sheet name="2023-09-29" sheetId="20" r:id="rId24"/>
    <sheet name="2023-09-30" sheetId="21" r:id="rId25"/>
    <sheet name="2023-10-21" sheetId="22" r:id="rId26"/>
    <sheet name="2023-10-22" sheetId="23" r:id="rId27"/>
    <sheet name="2023-10-23" sheetId="24" r:id="rId28"/>
    <sheet name="2023-10-24" sheetId="25" r:id="rId29"/>
    <sheet name="2023-10-25" sheetId="26" r:id="rId30"/>
    <sheet name="2023-10-26" sheetId="27" r:id="rId31"/>
    <sheet name="2023-10-27" sheetId="28" r:id="rId32"/>
    <sheet name="2023-10-28" sheetId="29" r:id="rId33"/>
    <sheet name="2023-10-29" sheetId="30" r:id="rId34"/>
    <sheet name="2023-10-30" sheetId="31" r:id="rId35"/>
    <sheet name="2023-10-31" sheetId="32" r:id="rId36"/>
    <sheet name="2023-11-21" sheetId="33" r:id="rId37"/>
    <sheet name="2023-11-22" sheetId="34" r:id="rId38"/>
    <sheet name="2023-11-23" sheetId="35" r:id="rId39"/>
    <sheet name="2023-11-24" sheetId="36" r:id="rId40"/>
    <sheet name="2023-11-25" sheetId="37" r:id="rId41"/>
    <sheet name="2023-11-26" sheetId="38" r:id="rId42"/>
    <sheet name="2023-11-27" sheetId="39" r:id="rId43"/>
    <sheet name="2023-11-28" sheetId="40" r:id="rId44"/>
    <sheet name="2023-11-29" sheetId="41" r:id="rId45"/>
    <sheet name="2023-11-30" sheetId="42" r:id="rId46"/>
    <sheet name="2023-12-21" sheetId="43" r:id="rId47"/>
    <sheet name="2023-12-22" sheetId="44" r:id="rId48"/>
    <sheet name="2023-12-23" sheetId="45" r:id="rId49"/>
    <sheet name="2023-12-24" sheetId="46" r:id="rId50"/>
    <sheet name="2023-12-25" sheetId="47" r:id="rId51"/>
    <sheet name="2023-12-26" sheetId="48" r:id="rId52"/>
    <sheet name="2023-12-27" sheetId="49" r:id="rId53"/>
    <sheet name="2023-12-28" sheetId="50" r:id="rId54"/>
    <sheet name="2023-12-29" sheetId="51" r:id="rId55"/>
    <sheet name="2023-12-30" sheetId="52" r:id="rId5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" i="12" l="1"/>
  <c r="W9" i="52"/>
  <c r="T1" i="52"/>
  <c r="W9" i="51"/>
  <c r="T1" i="51"/>
  <c r="W9" i="50"/>
  <c r="T1" i="50"/>
  <c r="W9" i="49"/>
  <c r="T1" i="49"/>
  <c r="W9" i="48"/>
  <c r="T1" i="48"/>
  <c r="W9" i="47"/>
  <c r="T1" i="47"/>
  <c r="W9" i="46"/>
  <c r="T1" i="46"/>
  <c r="W9" i="45"/>
  <c r="T1" i="45"/>
  <c r="W9" i="44"/>
  <c r="T1" i="44"/>
  <c r="W9" i="43"/>
  <c r="T1" i="43"/>
  <c r="W9" i="42"/>
  <c r="T1" i="42"/>
  <c r="W9" i="41"/>
  <c r="T1" i="41"/>
  <c r="W9" i="40"/>
  <c r="T1" i="40"/>
  <c r="W9" i="39"/>
  <c r="T1" i="39"/>
  <c r="W9" i="38"/>
  <c r="T1" i="38"/>
  <c r="W9" i="37"/>
  <c r="T1" i="37"/>
  <c r="W9" i="36"/>
  <c r="T1" i="36"/>
  <c r="W9" i="35"/>
  <c r="T1" i="35"/>
  <c r="W9" i="34"/>
  <c r="T1" i="34"/>
  <c r="W9" i="33"/>
  <c r="T1" i="33"/>
  <c r="T3" i="33" s="1"/>
  <c r="W9" i="32"/>
  <c r="T3" i="32"/>
  <c r="T4" i="32" s="1"/>
  <c r="S3" i="32"/>
  <c r="T1" i="32"/>
  <c r="W9" i="31"/>
  <c r="T4" i="31"/>
  <c r="T5" i="31" s="1"/>
  <c r="S4" i="31"/>
  <c r="T3" i="31"/>
  <c r="S3" i="31"/>
  <c r="T1" i="31"/>
  <c r="W9" i="30"/>
  <c r="T1" i="30"/>
  <c r="T3" i="30" s="1"/>
  <c r="W9" i="29"/>
  <c r="T1" i="29"/>
  <c r="T3" i="29" s="1"/>
  <c r="W9" i="28"/>
  <c r="T3" i="28"/>
  <c r="T4" i="28" s="1"/>
  <c r="S3" i="28"/>
  <c r="T1" i="28"/>
  <c r="W9" i="27"/>
  <c r="T3" i="27"/>
  <c r="T4" i="27" s="1"/>
  <c r="S3" i="27"/>
  <c r="T1" i="27"/>
  <c r="W9" i="26"/>
  <c r="T5" i="26"/>
  <c r="T6" i="26" s="1"/>
  <c r="T4" i="26"/>
  <c r="S4" i="26"/>
  <c r="T1" i="26"/>
  <c r="T3" i="26" s="1"/>
  <c r="S3" i="26" s="1"/>
  <c r="W9" i="25"/>
  <c r="T1" i="25"/>
  <c r="T3" i="25" s="1"/>
  <c r="W9" i="24"/>
  <c r="T7" i="24"/>
  <c r="T6" i="24"/>
  <c r="S6" i="24"/>
  <c r="T3" i="24"/>
  <c r="T4" i="24" s="1"/>
  <c r="T5" i="24" s="1"/>
  <c r="S5" i="24" s="1"/>
  <c r="S3" i="24"/>
  <c r="T1" i="24"/>
  <c r="W9" i="23"/>
  <c r="T3" i="23"/>
  <c r="S3" i="23" s="1"/>
  <c r="T1" i="23"/>
  <c r="W9" i="22"/>
  <c r="S6" i="22"/>
  <c r="T4" i="22"/>
  <c r="T5" i="22" s="1"/>
  <c r="T6" i="22" s="1"/>
  <c r="T7" i="22" s="1"/>
  <c r="S4" i="22"/>
  <c r="S3" i="22"/>
  <c r="T1" i="22"/>
  <c r="T3" i="22" s="1"/>
  <c r="W9" i="21"/>
  <c r="T3" i="21"/>
  <c r="T1" i="21"/>
  <c r="W9" i="20"/>
  <c r="T4" i="20"/>
  <c r="T3" i="20"/>
  <c r="S3" i="20"/>
  <c r="T1" i="20"/>
  <c r="W9" i="19"/>
  <c r="T1" i="19"/>
  <c r="T3" i="19" s="1"/>
  <c r="W9" i="18"/>
  <c r="T3" i="18"/>
  <c r="T1" i="18"/>
  <c r="W9" i="17"/>
  <c r="T4" i="17"/>
  <c r="T3" i="17"/>
  <c r="S3" i="17"/>
  <c r="T1" i="17"/>
  <c r="W9" i="16"/>
  <c r="T4" i="16"/>
  <c r="S4" i="16" s="1"/>
  <c r="T1" i="16"/>
  <c r="T3" i="16" s="1"/>
  <c r="S3" i="16" s="1"/>
  <c r="W9" i="15"/>
  <c r="T1" i="15"/>
  <c r="T3" i="15" s="1"/>
  <c r="W9" i="14"/>
  <c r="T4" i="14"/>
  <c r="T3" i="14"/>
  <c r="S3" i="14"/>
  <c r="T1" i="14"/>
  <c r="W9" i="13"/>
  <c r="T5" i="13"/>
  <c r="T3" i="13"/>
  <c r="T4" i="13" s="1"/>
  <c r="S4" i="13" s="1"/>
  <c r="S3" i="13"/>
  <c r="T1" i="13"/>
  <c r="X9" i="12"/>
  <c r="U3" i="12"/>
  <c r="W9" i="11"/>
  <c r="T3" i="11"/>
  <c r="T4" i="11" s="1"/>
  <c r="T5" i="11" s="1"/>
  <c r="S3" i="11"/>
  <c r="T1" i="11"/>
  <c r="W9" i="10"/>
  <c r="T3" i="10"/>
  <c r="T1" i="10"/>
  <c r="W9" i="9"/>
  <c r="T3" i="9"/>
  <c r="S3" i="9" s="1"/>
  <c r="T1" i="9"/>
  <c r="W9" i="8"/>
  <c r="T1" i="8"/>
  <c r="T3" i="8" s="1"/>
  <c r="T4" i="8" s="1"/>
  <c r="W9" i="7"/>
  <c r="T3" i="7"/>
  <c r="T4" i="7" s="1"/>
  <c r="S3" i="7"/>
  <c r="T1" i="7"/>
  <c r="W9" i="6"/>
  <c r="T3" i="6"/>
  <c r="T1" i="6"/>
  <c r="W9" i="5"/>
  <c r="T8" i="5"/>
  <c r="S7" i="5"/>
  <c r="S6" i="5"/>
  <c r="T5" i="5"/>
  <c r="T6" i="5" s="1"/>
  <c r="T7" i="5" s="1"/>
  <c r="S5" i="5"/>
  <c r="T4" i="5"/>
  <c r="S4" i="5" s="1"/>
  <c r="T3" i="5"/>
  <c r="S3" i="5"/>
  <c r="T1" i="5"/>
  <c r="W9" i="4"/>
  <c r="T3" i="4"/>
  <c r="T4" i="4" s="1"/>
  <c r="S3" i="4"/>
  <c r="T1" i="4"/>
  <c r="W9" i="3"/>
  <c r="T1" i="3"/>
  <c r="T3" i="3" s="1"/>
  <c r="T4" i="3" s="1"/>
  <c r="W9" i="2"/>
  <c r="T3" i="2"/>
  <c r="T1" i="2"/>
  <c r="W9" i="1"/>
  <c r="T1" i="1"/>
  <c r="T3" i="1" s="1"/>
  <c r="S3" i="1" s="1"/>
  <c r="T5" i="4" l="1"/>
  <c r="S4" i="4"/>
  <c r="S4" i="3"/>
  <c r="T5" i="3"/>
  <c r="T5" i="7"/>
  <c r="S4" i="7"/>
  <c r="U4" i="12"/>
  <c r="T3" i="12"/>
  <c r="S5" i="13"/>
  <c r="T6" i="13"/>
  <c r="S3" i="6"/>
  <c r="T4" i="6"/>
  <c r="S5" i="11"/>
  <c r="T6" i="11"/>
  <c r="T4" i="1"/>
  <c r="S3" i="3"/>
  <c r="S8" i="5"/>
  <c r="T9" i="5"/>
  <c r="S4" i="8"/>
  <c r="T5" i="8"/>
  <c r="S3" i="8"/>
  <c r="S3" i="10"/>
  <c r="T4" i="10"/>
  <c r="S3" i="2"/>
  <c r="T4" i="2"/>
  <c r="T4" i="18"/>
  <c r="S3" i="18"/>
  <c r="T5" i="14"/>
  <c r="S4" i="14"/>
  <c r="T4" i="19"/>
  <c r="S3" i="19"/>
  <c r="T5" i="16"/>
  <c r="T5" i="17"/>
  <c r="S4" i="17"/>
  <c r="T5" i="20"/>
  <c r="S4" i="20"/>
  <c r="T4" i="9"/>
  <c r="S4" i="11"/>
  <c r="T4" i="15"/>
  <c r="S3" i="15"/>
  <c r="T4" i="21"/>
  <c r="S3" i="21"/>
  <c r="T8" i="22"/>
  <c r="S7" i="22"/>
  <c r="S5" i="22"/>
  <c r="T5" i="27"/>
  <c r="S4" i="27"/>
  <c r="T8" i="24"/>
  <c r="S7" i="24"/>
  <c r="T4" i="29"/>
  <c r="S3" i="29"/>
  <c r="T5" i="32"/>
  <c r="S4" i="32"/>
  <c r="T4" i="23"/>
  <c r="S4" i="24"/>
  <c r="T6" i="31"/>
  <c r="S5" i="31"/>
  <c r="S5" i="26"/>
  <c r="T4" i="30"/>
  <c r="S3" i="30"/>
  <c r="T7" i="26"/>
  <c r="S6" i="26"/>
  <c r="T5" i="28"/>
  <c r="S4" i="28"/>
  <c r="T4" i="33"/>
  <c r="S3" i="33"/>
  <c r="T4" i="25"/>
  <c r="S3" i="25"/>
  <c r="T5" i="6" l="1"/>
  <c r="S4" i="6"/>
  <c r="T6" i="3"/>
  <c r="S5" i="3"/>
  <c r="T7" i="31"/>
  <c r="S6" i="31"/>
  <c r="S5" i="16"/>
  <c r="T6" i="16"/>
  <c r="T5" i="10"/>
  <c r="S4" i="10"/>
  <c r="T4" i="12"/>
  <c r="U5" i="12"/>
  <c r="T5" i="23"/>
  <c r="S4" i="23"/>
  <c r="S4" i="9"/>
  <c r="T5" i="9"/>
  <c r="S5" i="7"/>
  <c r="T6" i="7"/>
  <c r="T6" i="32"/>
  <c r="S5" i="32"/>
  <c r="S5" i="14"/>
  <c r="T6" i="14"/>
  <c r="T9" i="24"/>
  <c r="S8" i="24"/>
  <c r="T6" i="28"/>
  <c r="S5" i="28"/>
  <c r="S4" i="15"/>
  <c r="T5" i="15"/>
  <c r="S5" i="8"/>
  <c r="T6" i="8"/>
  <c r="S4" i="25"/>
  <c r="T5" i="25"/>
  <c r="T5" i="30"/>
  <c r="S4" i="30"/>
  <c r="T9" i="22"/>
  <c r="S8" i="22"/>
  <c r="S5" i="20"/>
  <c r="T6" i="20"/>
  <c r="T5" i="29"/>
  <c r="S4" i="29"/>
  <c r="T5" i="18"/>
  <c r="S4" i="18"/>
  <c r="S9" i="5"/>
  <c r="T10" i="5"/>
  <c r="S6" i="13"/>
  <c r="T7" i="13"/>
  <c r="S4" i="1"/>
  <c r="T5" i="1"/>
  <c r="T6" i="27"/>
  <c r="S5" i="27"/>
  <c r="T5" i="19"/>
  <c r="S4" i="19"/>
  <c r="S6" i="11"/>
  <c r="T7" i="11"/>
  <c r="S7" i="26"/>
  <c r="T8" i="26"/>
  <c r="T5" i="33"/>
  <c r="S4" i="33"/>
  <c r="T5" i="21"/>
  <c r="S4" i="21"/>
  <c r="T6" i="17"/>
  <c r="S5" i="17"/>
  <c r="T5" i="2"/>
  <c r="S4" i="2"/>
  <c r="S5" i="4"/>
  <c r="T6" i="4"/>
  <c r="T6" i="33" l="1"/>
  <c r="S5" i="33"/>
  <c r="S6" i="27"/>
  <c r="T7" i="27"/>
  <c r="S5" i="18"/>
  <c r="T6" i="18"/>
  <c r="T6" i="30"/>
  <c r="S5" i="30"/>
  <c r="S8" i="26"/>
  <c r="T9" i="26"/>
  <c r="T6" i="1"/>
  <c r="S5" i="1"/>
  <c r="T6" i="25"/>
  <c r="S5" i="25"/>
  <c r="T6" i="9"/>
  <c r="S5" i="9"/>
  <c r="T7" i="16"/>
  <c r="S6" i="16"/>
  <c r="T6" i="2"/>
  <c r="S5" i="2"/>
  <c r="T6" i="29"/>
  <c r="S5" i="29"/>
  <c r="S9" i="24"/>
  <c r="T10" i="24"/>
  <c r="T8" i="11"/>
  <c r="S7" i="11"/>
  <c r="T8" i="13"/>
  <c r="S7" i="13"/>
  <c r="T7" i="20"/>
  <c r="S6" i="20"/>
  <c r="T7" i="8"/>
  <c r="S6" i="8"/>
  <c r="S6" i="14"/>
  <c r="T7" i="14"/>
  <c r="T7" i="17"/>
  <c r="S6" i="17"/>
  <c r="T6" i="23"/>
  <c r="S5" i="23"/>
  <c r="T8" i="31"/>
  <c r="S7" i="31"/>
  <c r="T11" i="5"/>
  <c r="S10" i="5"/>
  <c r="T6" i="15"/>
  <c r="S5" i="15"/>
  <c r="T7" i="32"/>
  <c r="S6" i="32"/>
  <c r="S6" i="3"/>
  <c r="T7" i="3"/>
  <c r="T5" i="12"/>
  <c r="U6" i="12"/>
  <c r="T6" i="21"/>
  <c r="S5" i="21"/>
  <c r="T6" i="19"/>
  <c r="S5" i="19"/>
  <c r="S9" i="22"/>
  <c r="T10" i="22"/>
  <c r="S6" i="4"/>
  <c r="T7" i="4"/>
  <c r="S6" i="7"/>
  <c r="T7" i="7"/>
  <c r="S6" i="28"/>
  <c r="T7" i="28"/>
  <c r="T6" i="10"/>
  <c r="S5" i="10"/>
  <c r="S5" i="6"/>
  <c r="T6" i="6"/>
  <c r="S6" i="6" l="1"/>
  <c r="T7" i="6"/>
  <c r="T8" i="4"/>
  <c r="S7" i="4"/>
  <c r="U7" i="12"/>
  <c r="T6" i="12"/>
  <c r="S7" i="14"/>
  <c r="T8" i="14"/>
  <c r="T10" i="26"/>
  <c r="S9" i="26"/>
  <c r="T11" i="22"/>
  <c r="S10" i="22"/>
  <c r="T8" i="3"/>
  <c r="S7" i="3"/>
  <c r="T11" i="24"/>
  <c r="S10" i="24"/>
  <c r="S6" i="10"/>
  <c r="T7" i="10"/>
  <c r="T9" i="31"/>
  <c r="S8" i="31"/>
  <c r="T8" i="8"/>
  <c r="S7" i="8"/>
  <c r="S6" i="9"/>
  <c r="T7" i="9"/>
  <c r="T7" i="30"/>
  <c r="S6" i="30"/>
  <c r="T8" i="28"/>
  <c r="S7" i="28"/>
  <c r="S6" i="18"/>
  <c r="T7" i="18"/>
  <c r="T7" i="19"/>
  <c r="S6" i="19"/>
  <c r="T8" i="32"/>
  <c r="S7" i="32"/>
  <c r="T7" i="23"/>
  <c r="S6" i="23"/>
  <c r="T8" i="20"/>
  <c r="S7" i="20"/>
  <c r="T7" i="29"/>
  <c r="S6" i="29"/>
  <c r="T7" i="25"/>
  <c r="S6" i="25"/>
  <c r="T8" i="7"/>
  <c r="S7" i="7"/>
  <c r="S7" i="27"/>
  <c r="T8" i="27"/>
  <c r="T7" i="21"/>
  <c r="S6" i="21"/>
  <c r="T7" i="15"/>
  <c r="S6" i="15"/>
  <c r="T8" i="17"/>
  <c r="S7" i="17"/>
  <c r="T9" i="13"/>
  <c r="S8" i="13"/>
  <c r="S6" i="2"/>
  <c r="T7" i="2"/>
  <c r="T7" i="1"/>
  <c r="S6" i="1"/>
  <c r="T12" i="5"/>
  <c r="S11" i="5"/>
  <c r="S8" i="11"/>
  <c r="T9" i="11"/>
  <c r="T8" i="16"/>
  <c r="S7" i="16"/>
  <c r="T7" i="33"/>
  <c r="S6" i="33"/>
  <c r="S7" i="2" l="1"/>
  <c r="T8" i="2"/>
  <c r="S7" i="9"/>
  <c r="T8" i="9"/>
  <c r="T9" i="14"/>
  <c r="S8" i="14"/>
  <c r="T8" i="29"/>
  <c r="S7" i="29"/>
  <c r="T9" i="27"/>
  <c r="S8" i="27"/>
  <c r="S7" i="18"/>
  <c r="T8" i="18"/>
  <c r="S9" i="13"/>
  <c r="T10" i="13"/>
  <c r="T9" i="16"/>
  <c r="S8" i="16"/>
  <c r="T8" i="21"/>
  <c r="S7" i="21"/>
  <c r="T8" i="19"/>
  <c r="S7" i="19"/>
  <c r="T12" i="24"/>
  <c r="S11" i="24"/>
  <c r="S9" i="11"/>
  <c r="T10" i="11"/>
  <c r="T9" i="20"/>
  <c r="S8" i="20"/>
  <c r="S8" i="8"/>
  <c r="T9" i="8"/>
  <c r="S8" i="3"/>
  <c r="T9" i="3"/>
  <c r="U8" i="12"/>
  <c r="T7" i="12"/>
  <c r="T13" i="5"/>
  <c r="S12" i="5"/>
  <c r="T9" i="17"/>
  <c r="S8" i="17"/>
  <c r="S8" i="7"/>
  <c r="T9" i="7"/>
  <c r="S7" i="23"/>
  <c r="T8" i="23"/>
  <c r="T9" i="28"/>
  <c r="S8" i="28"/>
  <c r="S9" i="31"/>
  <c r="T10" i="31"/>
  <c r="S11" i="22"/>
  <c r="T12" i="22"/>
  <c r="T9" i="4"/>
  <c r="S8" i="4"/>
  <c r="S7" i="6"/>
  <c r="T8" i="6"/>
  <c r="S7" i="10"/>
  <c r="T8" i="10"/>
  <c r="T8" i="33"/>
  <c r="S7" i="33"/>
  <c r="T8" i="1"/>
  <c r="S7" i="1"/>
  <c r="T8" i="15"/>
  <c r="S7" i="15"/>
  <c r="T8" i="25"/>
  <c r="S7" i="25"/>
  <c r="T9" i="32"/>
  <c r="S8" i="32"/>
  <c r="T8" i="30"/>
  <c r="S7" i="30"/>
  <c r="S10" i="26"/>
  <c r="T11" i="26"/>
  <c r="T11" i="11" l="1"/>
  <c r="S10" i="11"/>
  <c r="S8" i="23"/>
  <c r="T9" i="23"/>
  <c r="S8" i="30"/>
  <c r="T9" i="30"/>
  <c r="S8" i="1"/>
  <c r="T9" i="1"/>
  <c r="S9" i="4"/>
  <c r="T10" i="4"/>
  <c r="T8" i="12"/>
  <c r="U9" i="12"/>
  <c r="S9" i="16"/>
  <c r="T10" i="16"/>
  <c r="T9" i="29"/>
  <c r="S8" i="29"/>
  <c r="S12" i="22"/>
  <c r="T13" i="22"/>
  <c r="S9" i="7"/>
  <c r="T10" i="7"/>
  <c r="T10" i="3"/>
  <c r="S9" i="3"/>
  <c r="S10" i="13"/>
  <c r="T11" i="13"/>
  <c r="S9" i="32"/>
  <c r="T10" i="32"/>
  <c r="T9" i="33"/>
  <c r="S8" i="33"/>
  <c r="S12" i="24"/>
  <c r="T13" i="24"/>
  <c r="T10" i="14"/>
  <c r="S9" i="14"/>
  <c r="S9" i="8"/>
  <c r="T10" i="8"/>
  <c r="T9" i="18"/>
  <c r="S8" i="18"/>
  <c r="S8" i="9"/>
  <c r="T9" i="9"/>
  <c r="T9" i="10"/>
  <c r="S8" i="10"/>
  <c r="S9" i="17"/>
  <c r="T10" i="17"/>
  <c r="T9" i="19"/>
  <c r="S8" i="19"/>
  <c r="S11" i="26"/>
  <c r="T12" i="26"/>
  <c r="T9" i="6"/>
  <c r="S8" i="6"/>
  <c r="T9" i="2"/>
  <c r="S8" i="2"/>
  <c r="S10" i="31"/>
  <c r="T11" i="31"/>
  <c r="S8" i="25"/>
  <c r="T9" i="25"/>
  <c r="T9" i="15"/>
  <c r="S8" i="15"/>
  <c r="S9" i="28"/>
  <c r="T10" i="28"/>
  <c r="T14" i="5"/>
  <c r="S13" i="5"/>
  <c r="T10" i="20"/>
  <c r="S9" i="20"/>
  <c r="T9" i="21"/>
  <c r="S8" i="21"/>
  <c r="S9" i="27"/>
  <c r="T10" i="27"/>
  <c r="T11" i="7" l="1"/>
  <c r="S10" i="7"/>
  <c r="T9" i="12"/>
  <c r="U10" i="12"/>
  <c r="T10" i="23"/>
  <c r="S9" i="23"/>
  <c r="T15" i="5"/>
  <c r="S14" i="5"/>
  <c r="T10" i="19"/>
  <c r="S9" i="19"/>
  <c r="T10" i="18"/>
  <c r="S9" i="18"/>
  <c r="T10" i="33"/>
  <c r="S9" i="33"/>
  <c r="T10" i="2"/>
  <c r="S9" i="2"/>
  <c r="T12" i="13"/>
  <c r="S11" i="13"/>
  <c r="T10" i="1"/>
  <c r="S9" i="1"/>
  <c r="T10" i="21"/>
  <c r="S9" i="21"/>
  <c r="T10" i="15"/>
  <c r="S9" i="15"/>
  <c r="T10" i="6"/>
  <c r="S9" i="6"/>
  <c r="T10" i="10"/>
  <c r="S9" i="10"/>
  <c r="T11" i="14"/>
  <c r="S10" i="14"/>
  <c r="T10" i="29"/>
  <c r="S9" i="29"/>
  <c r="T10" i="25"/>
  <c r="S9" i="25"/>
  <c r="T13" i="26"/>
  <c r="S12" i="26"/>
  <c r="T10" i="9"/>
  <c r="S9" i="9"/>
  <c r="S13" i="24"/>
  <c r="T14" i="24"/>
  <c r="S10" i="16"/>
  <c r="T11" i="16"/>
  <c r="T10" i="30"/>
  <c r="S9" i="30"/>
  <c r="T11" i="20"/>
  <c r="S10" i="20"/>
  <c r="T11" i="3"/>
  <c r="S10" i="3"/>
  <c r="S11" i="31"/>
  <c r="T12" i="31"/>
  <c r="S10" i="27"/>
  <c r="T11" i="27"/>
  <c r="S10" i="28"/>
  <c r="T11" i="28"/>
  <c r="S10" i="17"/>
  <c r="T11" i="17"/>
  <c r="T11" i="8"/>
  <c r="S10" i="8"/>
  <c r="S10" i="32"/>
  <c r="T11" i="32"/>
  <c r="S13" i="22"/>
  <c r="T14" i="22"/>
  <c r="S10" i="4"/>
  <c r="T11" i="4"/>
  <c r="T12" i="11"/>
  <c r="S11" i="11"/>
  <c r="T12" i="27" l="1"/>
  <c r="S11" i="27"/>
  <c r="T12" i="8"/>
  <c r="S11" i="8"/>
  <c r="T11" i="6"/>
  <c r="S10" i="6"/>
  <c r="T12" i="4"/>
  <c r="S11" i="4"/>
  <c r="T12" i="3"/>
  <c r="S11" i="3"/>
  <c r="T11" i="29"/>
  <c r="S10" i="29"/>
  <c r="S10" i="2"/>
  <c r="T11" i="2"/>
  <c r="T13" i="11"/>
  <c r="S12" i="11"/>
  <c r="T11" i="25"/>
  <c r="S10" i="25"/>
  <c r="T13" i="13"/>
  <c r="S12" i="13"/>
  <c r="T12" i="17"/>
  <c r="S11" i="17"/>
  <c r="T15" i="24"/>
  <c r="S14" i="24"/>
  <c r="T11" i="15"/>
  <c r="S10" i="15"/>
  <c r="T16" i="5"/>
  <c r="S15" i="5"/>
  <c r="S14" i="22"/>
  <c r="T15" i="22"/>
  <c r="T12" i="28"/>
  <c r="S11" i="28"/>
  <c r="T12" i="20"/>
  <c r="S11" i="20"/>
  <c r="T11" i="9"/>
  <c r="S10" i="9"/>
  <c r="T12" i="14"/>
  <c r="S11" i="14"/>
  <c r="T11" i="21"/>
  <c r="S10" i="21"/>
  <c r="T11" i="33"/>
  <c r="S10" i="33"/>
  <c r="S10" i="23"/>
  <c r="T11" i="23"/>
  <c r="U11" i="12"/>
  <c r="T10" i="12"/>
  <c r="T12" i="32"/>
  <c r="S11" i="32"/>
  <c r="T14" i="26"/>
  <c r="S13" i="26"/>
  <c r="T11" i="10"/>
  <c r="S10" i="10"/>
  <c r="T11" i="1"/>
  <c r="S10" i="1"/>
  <c r="T11" i="18"/>
  <c r="S10" i="18"/>
  <c r="S10" i="30"/>
  <c r="T11" i="30"/>
  <c r="T13" i="31"/>
  <c r="S12" i="31"/>
  <c r="S11" i="16"/>
  <c r="T12" i="16"/>
  <c r="T11" i="19"/>
  <c r="S10" i="19"/>
  <c r="T12" i="7"/>
  <c r="S11" i="7"/>
  <c r="S11" i="30" l="1"/>
  <c r="T12" i="30"/>
  <c r="S11" i="18"/>
  <c r="T12" i="18"/>
  <c r="T12" i="21"/>
  <c r="S11" i="21"/>
  <c r="T16" i="24"/>
  <c r="S15" i="24"/>
  <c r="T13" i="4"/>
  <c r="S12" i="4"/>
  <c r="T13" i="16"/>
  <c r="S12" i="16"/>
  <c r="S15" i="22"/>
  <c r="T16" i="22"/>
  <c r="S11" i="2"/>
  <c r="T12" i="2"/>
  <c r="T12" i="1"/>
  <c r="S11" i="1"/>
  <c r="U12" i="12"/>
  <c r="T11" i="12"/>
  <c r="S12" i="14"/>
  <c r="T13" i="14"/>
  <c r="T13" i="17"/>
  <c r="S12" i="17"/>
  <c r="S11" i="6"/>
  <c r="T12" i="6"/>
  <c r="T12" i="19"/>
  <c r="S11" i="19"/>
  <c r="S12" i="32"/>
  <c r="T13" i="32"/>
  <c r="S12" i="28"/>
  <c r="T13" i="28"/>
  <c r="S13" i="11"/>
  <c r="T14" i="11"/>
  <c r="S11" i="23"/>
  <c r="T12" i="23"/>
  <c r="S13" i="31"/>
  <c r="T14" i="31"/>
  <c r="S11" i="10"/>
  <c r="T12" i="10"/>
  <c r="T12" i="9"/>
  <c r="S11" i="9"/>
  <c r="T17" i="5"/>
  <c r="S16" i="5"/>
  <c r="T14" i="13"/>
  <c r="S13" i="13"/>
  <c r="S11" i="29"/>
  <c r="T12" i="29"/>
  <c r="S12" i="8"/>
  <c r="T13" i="8"/>
  <c r="T13" i="7"/>
  <c r="S12" i="7"/>
  <c r="S14" i="26"/>
  <c r="T15" i="26"/>
  <c r="S11" i="33"/>
  <c r="T12" i="33"/>
  <c r="T13" i="20"/>
  <c r="S12" i="20"/>
  <c r="T12" i="15"/>
  <c r="S11" i="15"/>
  <c r="S11" i="25"/>
  <c r="T12" i="25"/>
  <c r="T13" i="3"/>
  <c r="S12" i="3"/>
  <c r="T13" i="27"/>
  <c r="S12" i="27"/>
  <c r="S12" i="19" l="1"/>
  <c r="T13" i="19"/>
  <c r="T12" i="12"/>
  <c r="U13" i="12"/>
  <c r="T14" i="16"/>
  <c r="S13" i="16"/>
  <c r="S13" i="27"/>
  <c r="T14" i="27"/>
  <c r="S13" i="20"/>
  <c r="T14" i="20"/>
  <c r="S12" i="9"/>
  <c r="T13" i="9"/>
  <c r="S12" i="33"/>
  <c r="T13" i="33"/>
  <c r="S12" i="29"/>
  <c r="T13" i="29"/>
  <c r="T13" i="10"/>
  <c r="S12" i="10"/>
  <c r="S13" i="28"/>
  <c r="T14" i="28"/>
  <c r="T13" i="2"/>
  <c r="S12" i="2"/>
  <c r="S13" i="3"/>
  <c r="T14" i="3"/>
  <c r="T14" i="17"/>
  <c r="S13" i="17"/>
  <c r="S16" i="24"/>
  <c r="T17" i="24"/>
  <c r="S12" i="25"/>
  <c r="T13" i="25"/>
  <c r="S15" i="26"/>
  <c r="T16" i="26"/>
  <c r="S14" i="31"/>
  <c r="T15" i="31"/>
  <c r="S13" i="32"/>
  <c r="T14" i="32"/>
  <c r="S13" i="14"/>
  <c r="T14" i="14"/>
  <c r="T17" i="22"/>
  <c r="S16" i="22"/>
  <c r="S14" i="13"/>
  <c r="T15" i="13"/>
  <c r="S12" i="21"/>
  <c r="T13" i="21"/>
  <c r="S12" i="23"/>
  <c r="T13" i="23"/>
  <c r="S12" i="18"/>
  <c r="T13" i="18"/>
  <c r="S12" i="15"/>
  <c r="T13" i="15"/>
  <c r="S13" i="7"/>
  <c r="T14" i="7"/>
  <c r="T18" i="5"/>
  <c r="S17" i="5"/>
  <c r="S13" i="8"/>
  <c r="T14" i="8"/>
  <c r="T15" i="11"/>
  <c r="S14" i="11"/>
  <c r="T13" i="6"/>
  <c r="S12" i="6"/>
  <c r="S12" i="30"/>
  <c r="T13" i="30"/>
  <c r="S12" i="1"/>
  <c r="T13" i="1"/>
  <c r="T14" i="4"/>
  <c r="S13" i="4"/>
  <c r="T14" i="1" l="1"/>
  <c r="S13" i="1"/>
  <c r="S13" i="18"/>
  <c r="T14" i="18"/>
  <c r="T17" i="26"/>
  <c r="S16" i="26"/>
  <c r="S13" i="29"/>
  <c r="T14" i="29"/>
  <c r="T15" i="8"/>
  <c r="S14" i="8"/>
  <c r="T15" i="3"/>
  <c r="S14" i="3"/>
  <c r="S14" i="27"/>
  <c r="T15" i="27"/>
  <c r="T18" i="22"/>
  <c r="S17" i="22"/>
  <c r="T14" i="30"/>
  <c r="S13" i="30"/>
  <c r="T14" i="23"/>
  <c r="S13" i="23"/>
  <c r="T15" i="14"/>
  <c r="S14" i="14"/>
  <c r="T14" i="25"/>
  <c r="S13" i="25"/>
  <c r="S13" i="33"/>
  <c r="T14" i="33"/>
  <c r="T19" i="5"/>
  <c r="S18" i="5"/>
  <c r="T14" i="2"/>
  <c r="S13" i="2"/>
  <c r="T15" i="16"/>
  <c r="S14" i="16"/>
  <c r="T15" i="7"/>
  <c r="S14" i="7"/>
  <c r="T14" i="21"/>
  <c r="S13" i="21"/>
  <c r="S14" i="32"/>
  <c r="T15" i="32"/>
  <c r="S17" i="24"/>
  <c r="T18" i="24"/>
  <c r="S14" i="28"/>
  <c r="T15" i="28"/>
  <c r="T14" i="9"/>
  <c r="S13" i="9"/>
  <c r="T13" i="12"/>
  <c r="U14" i="12"/>
  <c r="T14" i="6"/>
  <c r="S13" i="6"/>
  <c r="T14" i="15"/>
  <c r="S13" i="15"/>
  <c r="T16" i="13"/>
  <c r="S15" i="13"/>
  <c r="S15" i="31"/>
  <c r="T16" i="31"/>
  <c r="T15" i="20"/>
  <c r="S14" i="20"/>
  <c r="T14" i="19"/>
  <c r="S13" i="19"/>
  <c r="S14" i="4"/>
  <c r="T15" i="4"/>
  <c r="T16" i="11"/>
  <c r="S15" i="11"/>
  <c r="S14" i="17"/>
  <c r="T15" i="17"/>
  <c r="T14" i="10"/>
  <c r="S13" i="10"/>
  <c r="T16" i="28" l="1"/>
  <c r="S15" i="28"/>
  <c r="T15" i="29"/>
  <c r="S14" i="29"/>
  <c r="T16" i="20"/>
  <c r="S15" i="20"/>
  <c r="S14" i="6"/>
  <c r="T15" i="6"/>
  <c r="S15" i="16"/>
  <c r="T16" i="16"/>
  <c r="T15" i="25"/>
  <c r="S14" i="25"/>
  <c r="S18" i="22"/>
  <c r="T19" i="22"/>
  <c r="T17" i="31"/>
  <c r="S16" i="31"/>
  <c r="U15" i="12"/>
  <c r="T14" i="12"/>
  <c r="T16" i="32"/>
  <c r="S15" i="32"/>
  <c r="T16" i="27"/>
  <c r="S15" i="27"/>
  <c r="S15" i="14"/>
  <c r="T16" i="14"/>
  <c r="T18" i="26"/>
  <c r="S17" i="26"/>
  <c r="T16" i="4"/>
  <c r="S15" i="4"/>
  <c r="T16" i="17"/>
  <c r="S15" i="17"/>
  <c r="T19" i="24"/>
  <c r="S18" i="24"/>
  <c r="T17" i="11"/>
  <c r="S16" i="11"/>
  <c r="S14" i="2"/>
  <c r="T15" i="2"/>
  <c r="T15" i="18"/>
  <c r="S14" i="18"/>
  <c r="T17" i="13"/>
  <c r="S16" i="13"/>
  <c r="T15" i="9"/>
  <c r="S14" i="9"/>
  <c r="S14" i="21"/>
  <c r="T15" i="21"/>
  <c r="S19" i="5"/>
  <c r="T20" i="5"/>
  <c r="S14" i="23"/>
  <c r="T15" i="23"/>
  <c r="T16" i="3"/>
  <c r="S15" i="3"/>
  <c r="T15" i="33"/>
  <c r="S14" i="33"/>
  <c r="T15" i="10"/>
  <c r="S14" i="10"/>
  <c r="T15" i="19"/>
  <c r="S14" i="19"/>
  <c r="T15" i="15"/>
  <c r="S14" i="15"/>
  <c r="T16" i="7"/>
  <c r="S15" i="7"/>
  <c r="S14" i="30"/>
  <c r="T15" i="30"/>
  <c r="T16" i="8"/>
  <c r="S15" i="8"/>
  <c r="T15" i="1"/>
  <c r="S14" i="1"/>
  <c r="S15" i="33" l="1"/>
  <c r="T16" i="33"/>
  <c r="S16" i="32"/>
  <c r="T17" i="32"/>
  <c r="T16" i="1"/>
  <c r="S15" i="1"/>
  <c r="T17" i="3"/>
  <c r="S16" i="3"/>
  <c r="T17" i="14"/>
  <c r="S16" i="14"/>
  <c r="T16" i="19"/>
  <c r="S15" i="19"/>
  <c r="T20" i="24"/>
  <c r="S19" i="24"/>
  <c r="S17" i="31"/>
  <c r="T18" i="31"/>
  <c r="T16" i="6"/>
  <c r="S15" i="6"/>
  <c r="S17" i="13"/>
  <c r="T18" i="13"/>
  <c r="T17" i="7"/>
  <c r="S16" i="7"/>
  <c r="T17" i="4"/>
  <c r="S16" i="4"/>
  <c r="T16" i="15"/>
  <c r="S15" i="15"/>
  <c r="T16" i="9"/>
  <c r="S15" i="9"/>
  <c r="S15" i="23"/>
  <c r="T16" i="23"/>
  <c r="T17" i="8"/>
  <c r="S16" i="8"/>
  <c r="S15" i="30"/>
  <c r="T16" i="30"/>
  <c r="S20" i="5"/>
  <c r="T21" i="5"/>
  <c r="S19" i="22"/>
  <c r="T20" i="22"/>
  <c r="T16" i="10"/>
  <c r="S15" i="10"/>
  <c r="S15" i="18"/>
  <c r="T16" i="18"/>
  <c r="S16" i="17"/>
  <c r="T17" i="17"/>
  <c r="T17" i="27"/>
  <c r="S16" i="27"/>
  <c r="T17" i="20"/>
  <c r="S16" i="20"/>
  <c r="T16" i="21"/>
  <c r="S15" i="21"/>
  <c r="S15" i="2"/>
  <c r="T16" i="2"/>
  <c r="S15" i="25"/>
  <c r="T16" i="25"/>
  <c r="S15" i="29"/>
  <c r="T16" i="29"/>
  <c r="T17" i="16"/>
  <c r="S16" i="16"/>
  <c r="T18" i="11"/>
  <c r="S17" i="11"/>
  <c r="S18" i="26"/>
  <c r="T19" i="26"/>
  <c r="U16" i="12"/>
  <c r="T15" i="12"/>
  <c r="S16" i="28"/>
  <c r="T17" i="28"/>
  <c r="S16" i="29" l="1"/>
  <c r="T17" i="29"/>
  <c r="T17" i="10"/>
  <c r="S16" i="10"/>
  <c r="T18" i="8"/>
  <c r="S17" i="8"/>
  <c r="S19" i="26"/>
  <c r="T20" i="26"/>
  <c r="S16" i="23"/>
  <c r="T17" i="23"/>
  <c r="S17" i="27"/>
  <c r="T18" i="27"/>
  <c r="T18" i="7"/>
  <c r="S17" i="7"/>
  <c r="S20" i="24"/>
  <c r="T21" i="24"/>
  <c r="T17" i="1"/>
  <c r="S16" i="1"/>
  <c r="T17" i="2"/>
  <c r="S16" i="2"/>
  <c r="S17" i="17"/>
  <c r="T18" i="17"/>
  <c r="S21" i="5"/>
  <c r="T22" i="5"/>
  <c r="S18" i="13"/>
  <c r="T19" i="13"/>
  <c r="S17" i="32"/>
  <c r="T18" i="32"/>
  <c r="S16" i="19"/>
  <c r="T17" i="19"/>
  <c r="S16" i="33"/>
  <c r="T17" i="33"/>
  <c r="S18" i="31"/>
  <c r="T19" i="31"/>
  <c r="U17" i="12"/>
  <c r="T16" i="12"/>
  <c r="S17" i="20"/>
  <c r="T18" i="20"/>
  <c r="T18" i="4"/>
  <c r="S17" i="4"/>
  <c r="T18" i="3"/>
  <c r="S17" i="3"/>
  <c r="S16" i="25"/>
  <c r="T17" i="25"/>
  <c r="T21" i="22"/>
  <c r="S20" i="22"/>
  <c r="S18" i="11"/>
  <c r="T19" i="11"/>
  <c r="T17" i="9"/>
  <c r="S16" i="9"/>
  <c r="S17" i="28"/>
  <c r="T18" i="28"/>
  <c r="T17" i="18"/>
  <c r="S16" i="18"/>
  <c r="S16" i="30"/>
  <c r="T17" i="30"/>
  <c r="T18" i="16"/>
  <c r="S17" i="16"/>
  <c r="S16" i="21"/>
  <c r="T17" i="21"/>
  <c r="S16" i="15"/>
  <c r="T17" i="15"/>
  <c r="T17" i="6"/>
  <c r="S16" i="6"/>
  <c r="S17" i="14"/>
  <c r="T18" i="14"/>
  <c r="S17" i="18" l="1"/>
  <c r="T18" i="18"/>
  <c r="S17" i="21"/>
  <c r="T18" i="21"/>
  <c r="T18" i="25"/>
  <c r="S17" i="25"/>
  <c r="S18" i="16"/>
  <c r="T19" i="16"/>
  <c r="T19" i="3"/>
  <c r="S18" i="3"/>
  <c r="T20" i="11"/>
  <c r="S19" i="11"/>
  <c r="T23" i="5"/>
  <c r="S22" i="5"/>
  <c r="T21" i="26"/>
  <c r="S20" i="26"/>
  <c r="T19" i="4"/>
  <c r="S18" i="4"/>
  <c r="S21" i="22"/>
  <c r="T22" i="22"/>
  <c r="S18" i="28"/>
  <c r="T19" i="28"/>
  <c r="T18" i="9"/>
  <c r="S17" i="9"/>
  <c r="T18" i="30"/>
  <c r="S17" i="30"/>
  <c r="S17" i="33"/>
  <c r="T18" i="33"/>
  <c r="S21" i="24"/>
  <c r="T22" i="24"/>
  <c r="T18" i="6"/>
  <c r="S17" i="6"/>
  <c r="T18" i="15"/>
  <c r="S17" i="15"/>
  <c r="S18" i="20"/>
  <c r="T19" i="20"/>
  <c r="T18" i="19"/>
  <c r="S17" i="19"/>
  <c r="S18" i="17"/>
  <c r="T19" i="17"/>
  <c r="S18" i="7"/>
  <c r="T19" i="7"/>
  <c r="T19" i="8"/>
  <c r="S18" i="8"/>
  <c r="S18" i="32"/>
  <c r="T19" i="32"/>
  <c r="S18" i="27"/>
  <c r="T19" i="27"/>
  <c r="U18" i="12"/>
  <c r="T17" i="12"/>
  <c r="T18" i="2"/>
  <c r="S17" i="2"/>
  <c r="T18" i="10"/>
  <c r="S17" i="10"/>
  <c r="T19" i="14"/>
  <c r="S18" i="14"/>
  <c r="S19" i="31"/>
  <c r="T20" i="31"/>
  <c r="T20" i="13"/>
  <c r="S19" i="13"/>
  <c r="S17" i="23"/>
  <c r="T18" i="23"/>
  <c r="S17" i="29"/>
  <c r="T18" i="29"/>
  <c r="S17" i="1"/>
  <c r="T18" i="1"/>
  <c r="T20" i="20" l="1"/>
  <c r="S19" i="20"/>
  <c r="T19" i="33"/>
  <c r="S18" i="33"/>
  <c r="T23" i="22"/>
  <c r="S22" i="22"/>
  <c r="T19" i="21"/>
  <c r="S18" i="21"/>
  <c r="T21" i="11"/>
  <c r="S20" i="11"/>
  <c r="T20" i="17"/>
  <c r="S19" i="17"/>
  <c r="S19" i="16"/>
  <c r="T20" i="16"/>
  <c r="T20" i="14"/>
  <c r="S19" i="14"/>
  <c r="T19" i="9"/>
  <c r="S18" i="9"/>
  <c r="T20" i="28"/>
  <c r="S19" i="28"/>
  <c r="S18" i="10"/>
  <c r="T19" i="10"/>
  <c r="S18" i="19"/>
  <c r="T19" i="19"/>
  <c r="T24" i="5"/>
  <c r="S23" i="5"/>
  <c r="T19" i="2"/>
  <c r="S18" i="2"/>
  <c r="T19" i="1"/>
  <c r="S18" i="1"/>
  <c r="T21" i="31"/>
  <c r="S20" i="31"/>
  <c r="T20" i="7"/>
  <c r="S19" i="7"/>
  <c r="T19" i="18"/>
  <c r="S18" i="18"/>
  <c r="T19" i="29"/>
  <c r="S18" i="29"/>
  <c r="T20" i="27"/>
  <c r="S19" i="27"/>
  <c r="S18" i="6"/>
  <c r="T19" i="6"/>
  <c r="T22" i="26"/>
  <c r="S21" i="26"/>
  <c r="S18" i="23"/>
  <c r="T19" i="23"/>
  <c r="T20" i="32"/>
  <c r="S19" i="32"/>
  <c r="T23" i="24"/>
  <c r="S22" i="24"/>
  <c r="T19" i="25"/>
  <c r="S18" i="25"/>
  <c r="S20" i="13"/>
  <c r="T21" i="13"/>
  <c r="T20" i="8"/>
  <c r="S19" i="8"/>
  <c r="U19" i="12"/>
  <c r="T18" i="12"/>
  <c r="T19" i="15"/>
  <c r="S18" i="15"/>
  <c r="S18" i="30"/>
  <c r="T19" i="30"/>
  <c r="T20" i="4"/>
  <c r="S19" i="4"/>
  <c r="T20" i="3"/>
  <c r="S19" i="3"/>
  <c r="S23" i="22" l="1"/>
  <c r="T24" i="22"/>
  <c r="S19" i="19"/>
  <c r="T20" i="19"/>
  <c r="T21" i="27"/>
  <c r="S20" i="27"/>
  <c r="T21" i="14"/>
  <c r="S20" i="14"/>
  <c r="S21" i="13"/>
  <c r="T22" i="13"/>
  <c r="T21" i="4"/>
  <c r="S20" i="4"/>
  <c r="T21" i="8"/>
  <c r="S20" i="8"/>
  <c r="S21" i="31"/>
  <c r="T22" i="31"/>
  <c r="S19" i="21"/>
  <c r="T20" i="21"/>
  <c r="T20" i="23"/>
  <c r="S19" i="23"/>
  <c r="S19" i="10"/>
  <c r="T20" i="10"/>
  <c r="S19" i="29"/>
  <c r="T20" i="29"/>
  <c r="S19" i="25"/>
  <c r="T20" i="25"/>
  <c r="S22" i="26"/>
  <c r="T23" i="26"/>
  <c r="T20" i="18"/>
  <c r="S19" i="18"/>
  <c r="S19" i="2"/>
  <c r="T20" i="2"/>
  <c r="S20" i="28"/>
  <c r="T21" i="28"/>
  <c r="T21" i="17"/>
  <c r="S20" i="17"/>
  <c r="S19" i="33"/>
  <c r="T20" i="33"/>
  <c r="S19" i="6"/>
  <c r="T20" i="6"/>
  <c r="S20" i="32"/>
  <c r="T21" i="32"/>
  <c r="S19" i="30"/>
  <c r="T20" i="30"/>
  <c r="T21" i="16"/>
  <c r="S20" i="16"/>
  <c r="T20" i="1"/>
  <c r="S19" i="1"/>
  <c r="S19" i="15"/>
  <c r="T20" i="15"/>
  <c r="T21" i="3"/>
  <c r="S20" i="3"/>
  <c r="T19" i="12"/>
  <c r="U20" i="12"/>
  <c r="T24" i="24"/>
  <c r="S23" i="24"/>
  <c r="T21" i="7"/>
  <c r="S20" i="7"/>
  <c r="S24" i="5"/>
  <c r="T25" i="5"/>
  <c r="S19" i="9"/>
  <c r="T20" i="9"/>
  <c r="T22" i="11"/>
  <c r="S21" i="11"/>
  <c r="S20" i="20"/>
  <c r="T21" i="20"/>
  <c r="T22" i="16" l="1"/>
  <c r="S21" i="16"/>
  <c r="T21" i="6"/>
  <c r="S20" i="6"/>
  <c r="T21" i="2"/>
  <c r="S20" i="2"/>
  <c r="S20" i="29"/>
  <c r="T21" i="29"/>
  <c r="S22" i="31"/>
  <c r="T23" i="31"/>
  <c r="S24" i="24"/>
  <c r="T25" i="24"/>
  <c r="T21" i="1"/>
  <c r="S20" i="1"/>
  <c r="S21" i="14"/>
  <c r="T22" i="14"/>
  <c r="T21" i="9"/>
  <c r="S20" i="9"/>
  <c r="U21" i="12"/>
  <c r="T20" i="12"/>
  <c r="S20" i="33"/>
  <c r="T21" i="33"/>
  <c r="T21" i="10"/>
  <c r="S20" i="10"/>
  <c r="T22" i="8"/>
  <c r="S21" i="8"/>
  <c r="S21" i="27"/>
  <c r="T22" i="27"/>
  <c r="S20" i="19"/>
  <c r="T21" i="19"/>
  <c r="S20" i="30"/>
  <c r="T21" i="30"/>
  <c r="S23" i="26"/>
  <c r="T24" i="26"/>
  <c r="S21" i="3"/>
  <c r="T22" i="3"/>
  <c r="S21" i="17"/>
  <c r="T22" i="17"/>
  <c r="T21" i="23"/>
  <c r="S20" i="23"/>
  <c r="T22" i="4"/>
  <c r="S21" i="4"/>
  <c r="T21" i="18"/>
  <c r="S20" i="18"/>
  <c r="T26" i="5"/>
  <c r="S26" i="5" s="1"/>
  <c r="S25" i="5"/>
  <c r="S21" i="32"/>
  <c r="T22" i="32"/>
  <c r="S22" i="13"/>
  <c r="T23" i="13"/>
  <c r="S24" i="22"/>
  <c r="T25" i="22"/>
  <c r="T23" i="11"/>
  <c r="S22" i="11"/>
  <c r="S21" i="20"/>
  <c r="T22" i="20"/>
  <c r="S20" i="15"/>
  <c r="T21" i="15"/>
  <c r="S21" i="28"/>
  <c r="T22" i="28"/>
  <c r="S20" i="25"/>
  <c r="T21" i="25"/>
  <c r="S20" i="21"/>
  <c r="T21" i="21"/>
  <c r="T22" i="7"/>
  <c r="S21" i="7"/>
  <c r="S21" i="21" l="1"/>
  <c r="T22" i="21"/>
  <c r="T23" i="7"/>
  <c r="S22" i="7"/>
  <c r="S22" i="20"/>
  <c r="T23" i="20"/>
  <c r="T22" i="30"/>
  <c r="S21" i="30"/>
  <c r="T25" i="26"/>
  <c r="S24" i="26"/>
  <c r="S23" i="31"/>
  <c r="T24" i="31"/>
  <c r="S22" i="32"/>
  <c r="T23" i="32"/>
  <c r="T23" i="14"/>
  <c r="S22" i="14"/>
  <c r="S21" i="29"/>
  <c r="T22" i="29"/>
  <c r="S21" i="23"/>
  <c r="T22" i="23"/>
  <c r="T22" i="10"/>
  <c r="S21" i="10"/>
  <c r="T22" i="25"/>
  <c r="S21" i="25"/>
  <c r="S22" i="17"/>
  <c r="T23" i="17"/>
  <c r="T22" i="19"/>
  <c r="S21" i="19"/>
  <c r="S21" i="33"/>
  <c r="T22" i="33"/>
  <c r="T24" i="11"/>
  <c r="S23" i="11"/>
  <c r="S21" i="1"/>
  <c r="T22" i="1"/>
  <c r="T22" i="2"/>
  <c r="S21" i="2"/>
  <c r="S22" i="28"/>
  <c r="T23" i="28"/>
  <c r="T26" i="22"/>
  <c r="S26" i="22" s="1"/>
  <c r="S25" i="22"/>
  <c r="S25" i="24"/>
  <c r="T26" i="24"/>
  <c r="S26" i="24" s="1"/>
  <c r="S22" i="27"/>
  <c r="T23" i="27"/>
  <c r="S21" i="18"/>
  <c r="T22" i="18"/>
  <c r="T21" i="12"/>
  <c r="U22" i="12"/>
  <c r="T22" i="6"/>
  <c r="S21" i="6"/>
  <c r="T23" i="3"/>
  <c r="S22" i="3"/>
  <c r="T22" i="15"/>
  <c r="S21" i="15"/>
  <c r="T24" i="13"/>
  <c r="S23" i="13"/>
  <c r="T23" i="4"/>
  <c r="S22" i="4"/>
  <c r="T23" i="8"/>
  <c r="S22" i="8"/>
  <c r="T22" i="9"/>
  <c r="S21" i="9"/>
  <c r="T23" i="16"/>
  <c r="S22" i="16"/>
  <c r="U23" i="12" l="1"/>
  <c r="T22" i="12"/>
  <c r="T23" i="25"/>
  <c r="S22" i="25"/>
  <c r="T24" i="14"/>
  <c r="S23" i="14"/>
  <c r="S22" i="30"/>
  <c r="T23" i="30"/>
  <c r="T23" i="18"/>
  <c r="S22" i="18"/>
  <c r="T24" i="28"/>
  <c r="S23" i="28"/>
  <c r="T23" i="33"/>
  <c r="S22" i="33"/>
  <c r="T24" i="32"/>
  <c r="S23" i="32"/>
  <c r="S23" i="20"/>
  <c r="T24" i="20"/>
  <c r="T23" i="10"/>
  <c r="S22" i="10"/>
  <c r="S22" i="23"/>
  <c r="T23" i="23"/>
  <c r="T25" i="31"/>
  <c r="S24" i="31"/>
  <c r="S23" i="16"/>
  <c r="T24" i="16"/>
  <c r="T25" i="11"/>
  <c r="S24" i="11"/>
  <c r="T23" i="9"/>
  <c r="S22" i="9"/>
  <c r="S22" i="15"/>
  <c r="T23" i="15"/>
  <c r="T24" i="3"/>
  <c r="S23" i="3"/>
  <c r="S24" i="13"/>
  <c r="T25" i="13"/>
  <c r="S23" i="27"/>
  <c r="T24" i="27"/>
  <c r="T24" i="8"/>
  <c r="S23" i="8"/>
  <c r="T23" i="2"/>
  <c r="S22" i="2"/>
  <c r="S22" i="19"/>
  <c r="T23" i="19"/>
  <c r="T24" i="7"/>
  <c r="S23" i="7"/>
  <c r="T23" i="1"/>
  <c r="S22" i="1"/>
  <c r="T24" i="17"/>
  <c r="S23" i="17"/>
  <c r="T23" i="29"/>
  <c r="S22" i="29"/>
  <c r="T23" i="21"/>
  <c r="S22" i="21"/>
  <c r="T24" i="4"/>
  <c r="S23" i="4"/>
  <c r="T23" i="6"/>
  <c r="S22" i="6"/>
  <c r="T26" i="26"/>
  <c r="S26" i="26" s="1"/>
  <c r="S25" i="26"/>
  <c r="T24" i="15" l="1"/>
  <c r="S23" i="15"/>
  <c r="S24" i="4"/>
  <c r="T25" i="4"/>
  <c r="T25" i="8"/>
  <c r="S24" i="8"/>
  <c r="S25" i="31"/>
  <c r="T26" i="31"/>
  <c r="S26" i="31" s="1"/>
  <c r="S24" i="32"/>
  <c r="T25" i="32"/>
  <c r="T25" i="27"/>
  <c r="S24" i="27"/>
  <c r="T24" i="23"/>
  <c r="S23" i="23"/>
  <c r="T24" i="21"/>
  <c r="S23" i="21"/>
  <c r="T25" i="7"/>
  <c r="S24" i="7"/>
  <c r="T24" i="9"/>
  <c r="S23" i="9"/>
  <c r="T25" i="14"/>
  <c r="S24" i="14"/>
  <c r="T24" i="33"/>
  <c r="S23" i="33"/>
  <c r="T24" i="19"/>
  <c r="S23" i="19"/>
  <c r="T26" i="13"/>
  <c r="S26" i="13" s="1"/>
  <c r="S25" i="13"/>
  <c r="T25" i="16"/>
  <c r="S24" i="16"/>
  <c r="T25" i="20"/>
  <c r="S24" i="20"/>
  <c r="T24" i="6"/>
  <c r="S23" i="6"/>
  <c r="S23" i="30"/>
  <c r="T24" i="30"/>
  <c r="T24" i="1"/>
  <c r="S23" i="1"/>
  <c r="S23" i="29"/>
  <c r="T24" i="29"/>
  <c r="S25" i="11"/>
  <c r="T26" i="11"/>
  <c r="S26" i="11" s="1"/>
  <c r="T24" i="10"/>
  <c r="S23" i="10"/>
  <c r="S24" i="28"/>
  <c r="T25" i="28"/>
  <c r="S23" i="25"/>
  <c r="T24" i="25"/>
  <c r="S24" i="17"/>
  <c r="T25" i="17"/>
  <c r="T24" i="2"/>
  <c r="S23" i="2"/>
  <c r="T25" i="3"/>
  <c r="S24" i="3"/>
  <c r="T24" i="18"/>
  <c r="S23" i="18"/>
  <c r="U24" i="12"/>
  <c r="T23" i="12"/>
  <c r="S24" i="15" l="1"/>
  <c r="T25" i="15"/>
  <c r="T25" i="6"/>
  <c r="S24" i="6"/>
  <c r="S24" i="19"/>
  <c r="T25" i="19"/>
  <c r="S25" i="7"/>
  <c r="T26" i="7"/>
  <c r="S26" i="7" s="1"/>
  <c r="S24" i="29"/>
  <c r="T25" i="29"/>
  <c r="S24" i="25"/>
  <c r="T25" i="25"/>
  <c r="T25" i="18"/>
  <c r="S24" i="18"/>
  <c r="S25" i="20"/>
  <c r="T26" i="20"/>
  <c r="S26" i="20" s="1"/>
  <c r="S24" i="33"/>
  <c r="T25" i="33"/>
  <c r="S24" i="21"/>
  <c r="T25" i="21"/>
  <c r="S25" i="28"/>
  <c r="T26" i="28"/>
  <c r="S26" i="28" s="1"/>
  <c r="S25" i="3"/>
  <c r="T26" i="3"/>
  <c r="S26" i="3" s="1"/>
  <c r="T25" i="1"/>
  <c r="S24" i="1"/>
  <c r="S25" i="16"/>
  <c r="T26" i="16"/>
  <c r="S26" i="16" s="1"/>
  <c r="S25" i="14"/>
  <c r="T26" i="14"/>
  <c r="S26" i="14" s="1"/>
  <c r="T25" i="23"/>
  <c r="S24" i="23"/>
  <c r="S25" i="8"/>
  <c r="T26" i="8"/>
  <c r="S26" i="8" s="1"/>
  <c r="S24" i="30"/>
  <c r="T25" i="30"/>
  <c r="S25" i="4"/>
  <c r="T26" i="4"/>
  <c r="S26" i="4" s="1"/>
  <c r="S24" i="2"/>
  <c r="T25" i="2"/>
  <c r="T25" i="10"/>
  <c r="S24" i="10"/>
  <c r="S24" i="9"/>
  <c r="T25" i="9"/>
  <c r="S25" i="27"/>
  <c r="T26" i="27"/>
  <c r="S26" i="27" s="1"/>
  <c r="T26" i="17"/>
  <c r="S26" i="17" s="1"/>
  <c r="S25" i="17"/>
  <c r="S25" i="32"/>
  <c r="T26" i="32"/>
  <c r="S26" i="32" s="1"/>
  <c r="U25" i="12"/>
  <c r="T24" i="12"/>
  <c r="S25" i="23" l="1"/>
  <c r="T26" i="23"/>
  <c r="S26" i="23" s="1"/>
  <c r="T26" i="19"/>
  <c r="S26" i="19" s="1"/>
  <c r="S25" i="19"/>
  <c r="T26" i="2"/>
  <c r="S26" i="2" s="1"/>
  <c r="S25" i="2"/>
  <c r="S25" i="18"/>
  <c r="T26" i="18"/>
  <c r="S26" i="18" s="1"/>
  <c r="T26" i="30"/>
  <c r="S26" i="30" s="1"/>
  <c r="S25" i="30"/>
  <c r="T26" i="21"/>
  <c r="S26" i="21" s="1"/>
  <c r="S25" i="21"/>
  <c r="T26" i="25"/>
  <c r="S26" i="25" s="1"/>
  <c r="S25" i="25"/>
  <c r="T26" i="9"/>
  <c r="S26" i="9" s="1"/>
  <c r="S25" i="9"/>
  <c r="U26" i="12"/>
  <c r="T26" i="12" s="1"/>
  <c r="T25" i="12"/>
  <c r="T26" i="6"/>
  <c r="S26" i="6" s="1"/>
  <c r="S25" i="6"/>
  <c r="T26" i="15"/>
  <c r="S26" i="15" s="1"/>
  <c r="S25" i="15"/>
  <c r="S25" i="33"/>
  <c r="T26" i="33"/>
  <c r="S26" i="33" s="1"/>
  <c r="S25" i="29"/>
  <c r="T26" i="29"/>
  <c r="S26" i="29" s="1"/>
  <c r="T26" i="10"/>
  <c r="S26" i="10" s="1"/>
  <c r="S25" i="10"/>
  <c r="T26" i="1"/>
  <c r="S26" i="1" s="1"/>
  <c r="S25" i="1"/>
</calcChain>
</file>

<file path=xl/sharedStrings.xml><?xml version="1.0" encoding="utf-8"?>
<sst xmlns="http://schemas.openxmlformats.org/spreadsheetml/2006/main" count="3589" uniqueCount="1309">
  <si>
    <t>Original Dataset</t>
  </si>
  <si>
    <t>Analysis: truecons-trueprod</t>
  </si>
  <si>
    <t>ASP Solution</t>
  </si>
  <si>
    <t>Init Charge (%):</t>
  </si>
  <si>
    <t>Max Charge:</t>
  </si>
  <si>
    <t>Minimum storage Level</t>
  </si>
  <si>
    <t>date</t>
  </si>
  <si>
    <t>Discharge(W)</t>
  </si>
  <si>
    <t>Charge(W)</t>
  </si>
  <si>
    <t>Production(W)</t>
  </si>
  <si>
    <t>Consumption(W)</t>
  </si>
  <si>
    <t>Feed-in(W)</t>
  </si>
  <si>
    <t>From grid(W)</t>
  </si>
  <si>
    <t>State of Charge (%)</t>
  </si>
  <si>
    <t>State of Charge (Value)</t>
  </si>
  <si>
    <t>Maximum storage Level</t>
  </si>
  <si>
    <t>2023-08-21 0:00:00</t>
  </si>
  <si>
    <t>2023-08-21 1:00:00</t>
  </si>
  <si>
    <t>2023-08-21 2:00:00</t>
  </si>
  <si>
    <t>2023-08-21 3:00:00</t>
  </si>
  <si>
    <t xml:space="preserve">Optimality: </t>
  </si>
  <si>
    <t>optimum=178.77091381799997</t>
  </si>
  <si>
    <t>2023-08-21 4:00:00</t>
  </si>
  <si>
    <t xml:space="preserve">Answer Set Number: </t>
  </si>
  <si>
    <t xml:space="preserve"> 1 (Time: 0.082s)</t>
  </si>
  <si>
    <t>2023-08-21 5:00:00</t>
  </si>
  <si>
    <t xml:space="preserve">Time (seconds): </t>
  </si>
  <si>
    <t>2023-08-21 6:00:00</t>
  </si>
  <si>
    <t xml:space="preserve">Time (minutes): </t>
  </si>
  <si>
    <t>2023-08-21 7:00:00</t>
  </si>
  <si>
    <t>2023-08-21 8:00:00</t>
  </si>
  <si>
    <t>2023-08-21 9:00:00</t>
  </si>
  <si>
    <t>2023-08-21 10:00:00</t>
  </si>
  <si>
    <t>2023-08-21 11:00:00</t>
  </si>
  <si>
    <t>2023-08-21 12:00:00</t>
  </si>
  <si>
    <t>2023-08-21 13:00:00</t>
  </si>
  <si>
    <t>2023-08-21 14:00:00</t>
  </si>
  <si>
    <t>2023-08-21 15:00:00</t>
  </si>
  <si>
    <t>2023-08-21 16:00:00</t>
  </si>
  <si>
    <t>2023-08-21 17:00:00</t>
  </si>
  <si>
    <t>2023-08-21 18:00:00</t>
  </si>
  <si>
    <t>2023-08-21 19:00:00</t>
  </si>
  <si>
    <t>2023-08-21 20:00:00</t>
  </si>
  <si>
    <t>2023-08-21 21:00:00</t>
  </si>
  <si>
    <t>2023-08-21 22:00:00</t>
  </si>
  <si>
    <t>2023-08-21 23:00:00</t>
  </si>
  <si>
    <t>2023-08-22 0:00:00</t>
  </si>
  <si>
    <t>2023-08-22 1:00:00</t>
  </si>
  <si>
    <t>2023-08-22 2:00:00</t>
  </si>
  <si>
    <t>2023-08-22 3:00:00</t>
  </si>
  <si>
    <t>optimum=166.4194481000001</t>
  </si>
  <si>
    <t>2023-08-22 4:00:00</t>
  </si>
  <si>
    <t>2023-08-22 5:00:00</t>
  </si>
  <si>
    <t>2023-08-22 6:00:00</t>
  </si>
  <si>
    <t>2023-08-22 7:00:00</t>
  </si>
  <si>
    <t>2023-08-22 8:00:00</t>
  </si>
  <si>
    <t>2023-08-22 9:00:00</t>
  </si>
  <si>
    <t>2023-08-22 10:00:00</t>
  </si>
  <si>
    <t>2023-08-22 11:00:00</t>
  </si>
  <si>
    <t>2023-08-22 12:00:00</t>
  </si>
  <si>
    <t>2023-08-22 13:00:00</t>
  </si>
  <si>
    <t>2023-08-22 14:00:00</t>
  </si>
  <si>
    <t>2023-08-22 15:00:00</t>
  </si>
  <si>
    <t>2023-08-22 16:00:00</t>
  </si>
  <si>
    <t>2023-08-22 17:00:00</t>
  </si>
  <si>
    <t>2023-08-22 18:00:00</t>
  </si>
  <si>
    <t>2023-08-22 19:00:00</t>
  </si>
  <si>
    <t>2023-08-22 20:00:00</t>
  </si>
  <si>
    <t>2023-08-22 21:00:00</t>
  </si>
  <si>
    <t>2023-08-22 22:00:00</t>
  </si>
  <si>
    <t>2023-08-22 23:00:00</t>
  </si>
  <si>
    <t>2023-08-23 0:00:00</t>
  </si>
  <si>
    <t>2023-08-23 1:00:00</t>
  </si>
  <si>
    <t>2023-08-23 2:00:00</t>
  </si>
  <si>
    <t>2023-08-23 3:00:00</t>
  </si>
  <si>
    <t>optimum=187.96625073</t>
  </si>
  <si>
    <t>2023-08-23 4:00:00</t>
  </si>
  <si>
    <t>2023-08-23 5:00:00</t>
  </si>
  <si>
    <t>2023-08-23 6:00:00</t>
  </si>
  <si>
    <t>2023-08-23 7:00:00</t>
  </si>
  <si>
    <t>2023-08-23 8:00:00</t>
  </si>
  <si>
    <t>2023-08-23 9:00:00</t>
  </si>
  <si>
    <t>2023-08-23 10:00:00</t>
  </si>
  <si>
    <t>2023-08-23 11:00:00</t>
  </si>
  <si>
    <t>2023-08-23 12:00:00</t>
  </si>
  <si>
    <t>2023-08-23 13:00:00</t>
  </si>
  <si>
    <t>2023-08-23 14:00:00</t>
  </si>
  <si>
    <t>2023-08-23 15:00:00</t>
  </si>
  <si>
    <t>2023-08-23 16:00:00</t>
  </si>
  <si>
    <t>2023-08-23 17:00:00</t>
  </si>
  <si>
    <t>2023-08-23 18:00:00</t>
  </si>
  <si>
    <t>2023-08-23 19:00:00</t>
  </si>
  <si>
    <t>2023-08-23 20:00:00</t>
  </si>
  <si>
    <t>2023-08-23 21:00:00</t>
  </si>
  <si>
    <t>2023-08-23 22:00:00</t>
  </si>
  <si>
    <t>2023-08-23 23:00:00</t>
  </si>
  <si>
    <t>2023-08-24 0:00:00</t>
  </si>
  <si>
    <t>2023-08-24 1:00:00</t>
  </si>
  <si>
    <t>2023-08-24 2:00:00</t>
  </si>
  <si>
    <t>2023-08-24 3:00:00</t>
  </si>
  <si>
    <t>optimum=171.46365893000012</t>
  </si>
  <si>
    <t>2023-08-24 4:00:00</t>
  </si>
  <si>
    <t>2023-08-24 5:00:00</t>
  </si>
  <si>
    <t>2023-08-24 6:00:00</t>
  </si>
  <si>
    <t>2023-08-24 7:00:00</t>
  </si>
  <si>
    <t>2023-08-24 8:00:00</t>
  </si>
  <si>
    <t>2023-08-24 9:00:00</t>
  </si>
  <si>
    <t>2023-08-24 10:00:00</t>
  </si>
  <si>
    <t>2023-08-24 11:00:00</t>
  </si>
  <si>
    <t>2023-08-24 12:00:00</t>
  </si>
  <si>
    <t>2023-08-24 13:00:00</t>
  </si>
  <si>
    <t>2023-08-24 14:00:00</t>
  </si>
  <si>
    <t>2023-08-24 15:00:00</t>
  </si>
  <si>
    <t>2023-08-24 16:00:00</t>
  </si>
  <si>
    <t>2023-08-24 17:00:00</t>
  </si>
  <si>
    <t>2023-08-24 18:00:00</t>
  </si>
  <si>
    <t>2023-08-24 19:00:00</t>
  </si>
  <si>
    <t>2023-08-24 20:00:00</t>
  </si>
  <si>
    <t>2023-08-24 21:00:00</t>
  </si>
  <si>
    <t>2023-08-24 22:00:00</t>
  </si>
  <si>
    <t>2023-08-24 23:00:00</t>
  </si>
  <si>
    <t>2023-08-25 0:00:00</t>
  </si>
  <si>
    <t>2023-08-25 1:00:00</t>
  </si>
  <si>
    <t>2023-08-25 2:00:00</t>
  </si>
  <si>
    <t>2023-08-25 3:00:00</t>
  </si>
  <si>
    <t>optimum=181.2616833399999</t>
  </si>
  <si>
    <t>2023-08-25 4:00:00</t>
  </si>
  <si>
    <t xml:space="preserve"> 1 (Time: 0.083s)</t>
  </si>
  <si>
    <t>2023-08-25 5:00:00</t>
  </si>
  <si>
    <t>2023-08-25 6:00:00</t>
  </si>
  <si>
    <t>2023-08-25 7:00:00</t>
  </si>
  <si>
    <t>2023-08-25 8:00:00</t>
  </si>
  <si>
    <t>2023-08-25 9:00:00</t>
  </si>
  <si>
    <t>2023-08-25 10:00:00</t>
  </si>
  <si>
    <t>2023-08-25 11:00:00</t>
  </si>
  <si>
    <t>2023-08-25 12:00:00</t>
  </si>
  <si>
    <t>2023-08-25 13:00:00</t>
  </si>
  <si>
    <t>2023-08-25 14:00:00</t>
  </si>
  <si>
    <t>2023-08-25 15:00:00</t>
  </si>
  <si>
    <t>2023-08-25 16:00:00</t>
  </si>
  <si>
    <t>2023-08-25 17:00:00</t>
  </si>
  <si>
    <t>2023-08-25 18:00:00</t>
  </si>
  <si>
    <t>2023-08-25 19:00:00</t>
  </si>
  <si>
    <t>2023-08-25 20:00:00</t>
  </si>
  <si>
    <t>2023-08-25 21:00:00</t>
  </si>
  <si>
    <t>2023-08-25 22:00:00</t>
  </si>
  <si>
    <t>2023-08-25 23:00:00</t>
  </si>
  <si>
    <t>2023-08-26 0:00:00</t>
  </si>
  <si>
    <t>2023-08-26 1:00:00</t>
  </si>
  <si>
    <t>2023-08-26 2:00:00</t>
  </si>
  <si>
    <t>2023-08-26 3:00:00</t>
  </si>
  <si>
    <t>optimum=170.8974312999999</t>
  </si>
  <si>
    <t>2023-08-26 4:00:00</t>
  </si>
  <si>
    <t>2023-08-26 5:00:00</t>
  </si>
  <si>
    <t>2023-08-26 6:00:00</t>
  </si>
  <si>
    <t>2023-08-26 7:00:00</t>
  </si>
  <si>
    <t>2023-08-26 8:00:00</t>
  </si>
  <si>
    <t>2023-08-26 9:00:00</t>
  </si>
  <si>
    <t>2023-08-26 10:00:00</t>
  </si>
  <si>
    <t>2023-08-26 11:00:00</t>
  </si>
  <si>
    <t>2023-08-26 12:00:00</t>
  </si>
  <si>
    <t>2023-08-26 13:00:00</t>
  </si>
  <si>
    <t>2023-08-26 14:00:00</t>
  </si>
  <si>
    <t>2023-08-26 15:00:00</t>
  </si>
  <si>
    <t>2023-08-26 16:00:00</t>
  </si>
  <si>
    <t>2023-08-26 17:00:00</t>
  </si>
  <si>
    <t>2023-08-26 18:00:00</t>
  </si>
  <si>
    <t>2023-08-26 19:00:00</t>
  </si>
  <si>
    <t>2023-08-26 20:00:00</t>
  </si>
  <si>
    <t>2023-08-26 21:00:00</t>
  </si>
  <si>
    <t>2023-08-26 22:00:00</t>
  </si>
  <si>
    <t>2023-08-26 23:00:00</t>
  </si>
  <si>
    <t>2023-08-27 0:00:00</t>
  </si>
  <si>
    <t>2023-08-27 1:00:00</t>
  </si>
  <si>
    <t>2023-08-27 2:00:00</t>
  </si>
  <si>
    <t>2023-08-27 3:00:00</t>
  </si>
  <si>
    <t>optimum=167.96775410199996</t>
  </si>
  <si>
    <t>2023-08-27 4:00:00</t>
  </si>
  <si>
    <t>2023-08-27 5:00:00</t>
  </si>
  <si>
    <t>2023-08-27 6:00:00</t>
  </si>
  <si>
    <t>2023-08-27 7:00:00</t>
  </si>
  <si>
    <t>2023-08-27 8:00:00</t>
  </si>
  <si>
    <t>2023-08-27 9:00:00</t>
  </si>
  <si>
    <t>2023-08-27 10:00:00</t>
  </si>
  <si>
    <t>2023-08-27 11:00:00</t>
  </si>
  <si>
    <t>2023-08-27 12:00:00</t>
  </si>
  <si>
    <t>2023-08-27 13:00:00</t>
  </si>
  <si>
    <t>2023-08-27 14:00:00</t>
  </si>
  <si>
    <t>2023-08-27 15:00:00</t>
  </si>
  <si>
    <t>2023-08-27 16:00:00</t>
  </si>
  <si>
    <t>2023-08-27 17:00:00</t>
  </si>
  <si>
    <t>2023-08-27 18:00:00</t>
  </si>
  <si>
    <t>2023-08-27 19:00:00</t>
  </si>
  <si>
    <t>2023-08-27 20:00:00</t>
  </si>
  <si>
    <t>2023-08-27 21:00:00</t>
  </si>
  <si>
    <t>2023-08-27 22:00:00</t>
  </si>
  <si>
    <t>2023-08-27 23:00:00</t>
  </si>
  <si>
    <t>2023-08-28 0:00:00</t>
  </si>
  <si>
    <t>2023-08-28 1:00:00</t>
  </si>
  <si>
    <t>2023-08-28 2:00:00</t>
  </si>
  <si>
    <t>2023-08-28 3:00:00</t>
  </si>
  <si>
    <t>optimum=196.09712322000004</t>
  </si>
  <si>
    <t>2023-08-28 4:00:00</t>
  </si>
  <si>
    <t>2023-08-28 5:00:00</t>
  </si>
  <si>
    <t>2023-08-28 6:00:00</t>
  </si>
  <si>
    <t>2023-08-28 7:00:00</t>
  </si>
  <si>
    <t>2023-08-28 8:00:00</t>
  </si>
  <si>
    <t>2023-08-28 9:00:00</t>
  </si>
  <si>
    <t>2023-08-28 10:00:00</t>
  </si>
  <si>
    <t>2023-08-28 11:00:00</t>
  </si>
  <si>
    <t>2023-08-28 12:00:00</t>
  </si>
  <si>
    <t>2023-08-28 13:00:00</t>
  </si>
  <si>
    <t>2023-08-28 14:00:00</t>
  </si>
  <si>
    <t>2023-08-28 15:00:00</t>
  </si>
  <si>
    <t>2023-08-28 16:00:00</t>
  </si>
  <si>
    <t>2023-08-28 17:00:00</t>
  </si>
  <si>
    <t>2023-08-28 18:00:00</t>
  </si>
  <si>
    <t>2023-08-28 19:00:00</t>
  </si>
  <si>
    <t>2023-08-28 20:00:00</t>
  </si>
  <si>
    <t>2023-08-28 21:00:00</t>
  </si>
  <si>
    <t>2023-08-28 22:00:00</t>
  </si>
  <si>
    <t>2023-08-28 23:00:00</t>
  </si>
  <si>
    <t>2023-08-29 0:00:00</t>
  </si>
  <si>
    <t>2023-08-29 1:00:00</t>
  </si>
  <si>
    <t>2023-08-29 2:00:00</t>
  </si>
  <si>
    <t>2023-08-29 3:00:00</t>
  </si>
  <si>
    <t>optimum=182.2838407400001</t>
  </si>
  <si>
    <t>2023-08-29 4:00:00</t>
  </si>
  <si>
    <t>2023-08-29 5:00:00</t>
  </si>
  <si>
    <t>2023-08-29 6:00:00</t>
  </si>
  <si>
    <t>2023-08-29 7:00:00</t>
  </si>
  <si>
    <t>2023-08-29 8:00:00</t>
  </si>
  <si>
    <t>2023-08-29 9:00:00</t>
  </si>
  <si>
    <t>2023-08-29 10:00:00</t>
  </si>
  <si>
    <t>2023-08-29 11:00:00</t>
  </si>
  <si>
    <t>2023-08-29 12:00:00</t>
  </si>
  <si>
    <t>2023-08-29 13:00:00</t>
  </si>
  <si>
    <t>2023-08-29 14:00:00</t>
  </si>
  <si>
    <t>2023-08-29 15:00:00</t>
  </si>
  <si>
    <t>2023-08-29 16:00:00</t>
  </si>
  <si>
    <t>2023-08-29 17:00:00</t>
  </si>
  <si>
    <t>2023-08-29 18:00:00</t>
  </si>
  <si>
    <t>2023-08-29 19:00:00</t>
  </si>
  <si>
    <t>2023-08-29 20:00:00</t>
  </si>
  <si>
    <t>2023-08-29 21:00:00</t>
  </si>
  <si>
    <t>2023-08-29 22:00:00</t>
  </si>
  <si>
    <t>2023-08-29 23:00:00</t>
  </si>
  <si>
    <t>2023-08-30 0:00:00</t>
  </si>
  <si>
    <t>2023-08-30 1:00:00</t>
  </si>
  <si>
    <t>2023-08-30 2:00:00</t>
  </si>
  <si>
    <t>2023-08-30 3:00:00</t>
  </si>
  <si>
    <t>optimum=163.48213294000007</t>
  </si>
  <si>
    <t>2023-08-30 4:00:00</t>
  </si>
  <si>
    <t xml:space="preserve"> 1 (Time: 0.081s)</t>
  </si>
  <si>
    <t>2023-08-30 5:00:00</t>
  </si>
  <si>
    <t>2023-08-30 6:00:00</t>
  </si>
  <si>
    <t>2023-08-30 7:00:00</t>
  </si>
  <si>
    <t>2023-08-30 8:00:00</t>
  </si>
  <si>
    <t>2023-08-30 9:00:00</t>
  </si>
  <si>
    <t>2023-08-30 10:00:00</t>
  </si>
  <si>
    <t>2023-08-30 11:00:00</t>
  </si>
  <si>
    <t>2023-08-30 12:00:00</t>
  </si>
  <si>
    <t>2023-08-30 13:00:00</t>
  </si>
  <si>
    <t>2023-08-30 14:00:00</t>
  </si>
  <si>
    <t>2023-08-30 15:00:00</t>
  </si>
  <si>
    <t>2023-08-30 16:00:00</t>
  </si>
  <si>
    <t>2023-08-30 17:00:00</t>
  </si>
  <si>
    <t>2023-08-30 18:00:00</t>
  </si>
  <si>
    <t>2023-08-30 19:00:00</t>
  </si>
  <si>
    <t>2023-08-30 20:00:00</t>
  </si>
  <si>
    <t>2023-08-30 21:00:00</t>
  </si>
  <si>
    <t>2023-08-30 22:00:00</t>
  </si>
  <si>
    <t>2023-08-30 23:00:00</t>
  </si>
  <si>
    <t>2023-08-31 0:00:00</t>
  </si>
  <si>
    <t>2023-08-31 1:00:00</t>
  </si>
  <si>
    <t>2023-08-31 2:00:00</t>
  </si>
  <si>
    <t>2023-08-31 3:00:00</t>
  </si>
  <si>
    <t>optimum=185.1261407399999</t>
  </si>
  <si>
    <t>2023-08-31 4:00:00</t>
  </si>
  <si>
    <t>2023-08-31 5:00:00</t>
  </si>
  <si>
    <t>2023-08-31 6:00:00</t>
  </si>
  <si>
    <t>2023-08-31 7:00:00</t>
  </si>
  <si>
    <t>2023-08-31 8:00:00</t>
  </si>
  <si>
    <t>2023-08-31 9:00:00</t>
  </si>
  <si>
    <t>2023-08-31 10:00:00</t>
  </si>
  <si>
    <t>2023-08-31 11:00:00</t>
  </si>
  <si>
    <t>2023-08-31 12:00:00</t>
  </si>
  <si>
    <t>2023-08-31 13:00:00</t>
  </si>
  <si>
    <t>2023-08-31 14:00:00</t>
  </si>
  <si>
    <t>2023-08-31 15:00:00</t>
  </si>
  <si>
    <t>2023-08-31 16:00:00</t>
  </si>
  <si>
    <t>2023-08-31 17:00:00</t>
  </si>
  <si>
    <t>2023-08-31 18:00:00</t>
  </si>
  <si>
    <t>2023-08-31 19:00:00</t>
  </si>
  <si>
    <t>2023-08-31 20:00:00</t>
  </si>
  <si>
    <t>2023-08-31 21:00:00</t>
  </si>
  <si>
    <t>2023-08-31 22:00:00</t>
  </si>
  <si>
    <t>2023-08-31 23:00:00</t>
  </si>
  <si>
    <t>2023-09-21 0:00:00</t>
  </si>
  <si>
    <t>2023-09-21 1:00:00</t>
  </si>
  <si>
    <t>2023-09-21 2:00:00</t>
  </si>
  <si>
    <t>2023-09-21 3:00:00</t>
  </si>
  <si>
    <t>optimum=186.03914540000014</t>
  </si>
  <si>
    <t>2023-09-21 4:00:00</t>
  </si>
  <si>
    <t>2023-09-21 5:00:00</t>
  </si>
  <si>
    <t>2023-09-21 6:00:00</t>
  </si>
  <si>
    <t>2023-09-21 7:00:00</t>
  </si>
  <si>
    <t>2023-09-21 8:00:00</t>
  </si>
  <si>
    <t>2023-09-21 9:00:00</t>
  </si>
  <si>
    <t>2023-09-21 10:00:00</t>
  </si>
  <si>
    <t>2023-09-21 11:00:00</t>
  </si>
  <si>
    <t>2023-09-21 12:00:00</t>
  </si>
  <si>
    <t>2023-09-21 13:00:00</t>
  </si>
  <si>
    <t>2023-09-21 14:00:00</t>
  </si>
  <si>
    <t>2023-09-21 15:00:00</t>
  </si>
  <si>
    <t>2023-09-21 16:00:00</t>
  </si>
  <si>
    <t>2023-09-21 17:00:00</t>
  </si>
  <si>
    <t>2023-09-21 18:00:00</t>
  </si>
  <si>
    <t>2023-09-21 19:00:00</t>
  </si>
  <si>
    <t>2023-09-21 20:00:00</t>
  </si>
  <si>
    <t>2023-09-21 21:00:00</t>
  </si>
  <si>
    <t>2023-09-21 22:00:00</t>
  </si>
  <si>
    <t>2023-09-21 23:00:00</t>
  </si>
  <si>
    <t>2023-09-22 0:00:00</t>
  </si>
  <si>
    <t>2023-09-22 1:00:00</t>
  </si>
  <si>
    <t>2023-09-22 2:00:00</t>
  </si>
  <si>
    <t>2023-09-22 3:00:00</t>
  </si>
  <si>
    <t>optimum=153.11770375000006</t>
  </si>
  <si>
    <t>2023-09-22 4:00:00</t>
  </si>
  <si>
    <t>2023-09-22 5:00:00</t>
  </si>
  <si>
    <t>2023-09-22 6:00:00</t>
  </si>
  <si>
    <t>2023-09-22 7:00:00</t>
  </si>
  <si>
    <t>2023-09-22 8:00:00</t>
  </si>
  <si>
    <t>2023-09-22 9:00:00</t>
  </si>
  <si>
    <t>2023-09-22 10:00:00</t>
  </si>
  <si>
    <t>2023-09-22 11:00:00</t>
  </si>
  <si>
    <t>2023-09-22 12:00:00</t>
  </si>
  <si>
    <t>2023-09-22 13:00:00</t>
  </si>
  <si>
    <t>2023-09-22 14:00:00</t>
  </si>
  <si>
    <t>2023-09-22 15:00:00</t>
  </si>
  <si>
    <t>2023-09-22 16:00:00</t>
  </si>
  <si>
    <t>2023-09-22 17:00:00</t>
  </si>
  <si>
    <t>2023-09-22 18:00:00</t>
  </si>
  <si>
    <t>2023-09-22 19:00:00</t>
  </si>
  <si>
    <t>2023-09-22 20:00:00</t>
  </si>
  <si>
    <t>2023-09-22 21:00:00</t>
  </si>
  <si>
    <t>2023-09-22 22:00:00</t>
  </si>
  <si>
    <t>2023-09-22 23:00:00</t>
  </si>
  <si>
    <t>2023-09-23 0:00:00</t>
  </si>
  <si>
    <t>2023-09-23 1:00:00</t>
  </si>
  <si>
    <t>2023-09-23 2:00:00</t>
  </si>
  <si>
    <t>2023-09-23 3:00:00</t>
  </si>
  <si>
    <t>optimum=169.20772469999991</t>
  </si>
  <si>
    <t>2023-09-23 4:00:00</t>
  </si>
  <si>
    <t>2023-09-23 5:00:00</t>
  </si>
  <si>
    <t>2023-09-23 6:00:00</t>
  </si>
  <si>
    <t>2023-09-23 7:00:00</t>
  </si>
  <si>
    <t>2023-09-23 8:00:00</t>
  </si>
  <si>
    <t>2023-09-23 9:00:00</t>
  </si>
  <si>
    <t>2023-09-23 10:00:00</t>
  </si>
  <si>
    <t>2023-09-23 11:00:00</t>
  </si>
  <si>
    <t>2023-09-23 12:00:00</t>
  </si>
  <si>
    <t>2023-09-23 13:00:00</t>
  </si>
  <si>
    <t>2023-09-23 14:00:00</t>
  </si>
  <si>
    <t>2023-09-23 15:00:00</t>
  </si>
  <si>
    <t>2023-09-23 16:00:00</t>
  </si>
  <si>
    <t>2023-09-23 17:00:00</t>
  </si>
  <si>
    <t>2023-09-23 18:00:00</t>
  </si>
  <si>
    <t>2023-09-23 19:00:00</t>
  </si>
  <si>
    <t>2023-09-23 20:00:00</t>
  </si>
  <si>
    <t>2023-09-23 21:00:00</t>
  </si>
  <si>
    <t>2023-09-23 22:00:00</t>
  </si>
  <si>
    <t>2023-09-23 23:00:00</t>
  </si>
  <si>
    <t>2023-09-24 0:00:00</t>
  </si>
  <si>
    <t>2023-09-24 1:00:00</t>
  </si>
  <si>
    <t>2023-09-24 2:00:00</t>
  </si>
  <si>
    <t>2023-09-24 3:00:00</t>
  </si>
  <si>
    <t>optimum=167.47762780000005</t>
  </si>
  <si>
    <t>2023-09-24 4:00:00</t>
  </si>
  <si>
    <t>2023-09-24 5:00:00</t>
  </si>
  <si>
    <t>2023-09-24 6:00:00</t>
  </si>
  <si>
    <t>2023-09-24 7:00:00</t>
  </si>
  <si>
    <t>2023-09-24 8:00:00</t>
  </si>
  <si>
    <t>2023-09-24 9:00:00</t>
  </si>
  <si>
    <t>2023-09-24 10:00:00</t>
  </si>
  <si>
    <t>2023-09-24 11:00:00</t>
  </si>
  <si>
    <t>2023-09-24 12:00:00</t>
  </si>
  <si>
    <t>2023-09-24 13:00:00</t>
  </si>
  <si>
    <t>2023-09-24 14:00:00</t>
  </si>
  <si>
    <t>2023-09-24 15:00:00</t>
  </si>
  <si>
    <t>2023-09-24 16:00:00</t>
  </si>
  <si>
    <t>2023-09-24 17:00:00</t>
  </si>
  <si>
    <t>2023-09-24 18:00:00</t>
  </si>
  <si>
    <t>2023-09-24 19:00:00</t>
  </si>
  <si>
    <t>2023-09-24 20:00:00</t>
  </si>
  <si>
    <t>2023-09-24 21:00:00</t>
  </si>
  <si>
    <t>2023-09-24 22:00:00</t>
  </si>
  <si>
    <t>2023-09-24 23:00:00</t>
  </si>
  <si>
    <t>2023-09-25 0:00:00</t>
  </si>
  <si>
    <t>2023-09-25 1:00:00</t>
  </si>
  <si>
    <t>2023-09-25 2:00:00</t>
  </si>
  <si>
    <t>2023-09-25 3:00:00</t>
  </si>
  <si>
    <t>optimum=203.2122704000002</t>
  </si>
  <si>
    <t>2023-09-25 4:00:00</t>
  </si>
  <si>
    <t>2023-09-25 5:00:00</t>
  </si>
  <si>
    <t>2023-09-25 6:00:00</t>
  </si>
  <si>
    <t>2023-09-25 7:00:00</t>
  </si>
  <si>
    <t>2023-09-25 8:00:00</t>
  </si>
  <si>
    <t>2023-09-25 9:00:00</t>
  </si>
  <si>
    <t>2023-09-25 10:00:00</t>
  </si>
  <si>
    <t>2023-09-25 11:00:00</t>
  </si>
  <si>
    <t>2023-09-25 12:00:00</t>
  </si>
  <si>
    <t>2023-09-25 13:00:00</t>
  </si>
  <si>
    <t>2023-09-25 14:00:00</t>
  </si>
  <si>
    <t>2023-09-25 15:00:00</t>
  </si>
  <si>
    <t>2023-09-25 16:00:00</t>
  </si>
  <si>
    <t>2023-09-25 17:00:00</t>
  </si>
  <si>
    <t>2023-09-25 18:00:00</t>
  </si>
  <si>
    <t>2023-09-25 19:00:00</t>
  </si>
  <si>
    <t>2023-09-25 20:00:00</t>
  </si>
  <si>
    <t>2023-09-25 21:00:00</t>
  </si>
  <si>
    <t>2023-09-25 22:00:00</t>
  </si>
  <si>
    <t>2023-09-25 23:00:00</t>
  </si>
  <si>
    <t>2023-09-26 0:00:00</t>
  </si>
  <si>
    <t>2023-09-26 1:00:00</t>
  </si>
  <si>
    <t>2023-09-26 2:00:00</t>
  </si>
  <si>
    <t>2023-09-26 3:00:00</t>
  </si>
  <si>
    <t>optimum=-19.01599999999962</t>
  </si>
  <si>
    <t>2023-09-26 4:00:00</t>
  </si>
  <si>
    <t>2023-09-26 5:00:00</t>
  </si>
  <si>
    <t>2023-09-26 6:00:00</t>
  </si>
  <si>
    <t>2023-09-26 7:00:00</t>
  </si>
  <si>
    <t>2023-09-26 8:00:00</t>
  </si>
  <si>
    <t>2023-09-26 9:00:00</t>
  </si>
  <si>
    <t>2023-09-26 10:00:00</t>
  </si>
  <si>
    <t>2023-09-26 11:00:00</t>
  </si>
  <si>
    <t>2023-09-26 12:00:00</t>
  </si>
  <si>
    <t>2023-09-26 13:00:00</t>
  </si>
  <si>
    <t>2023-09-26 14:00:00</t>
  </si>
  <si>
    <t>2023-09-26 15:00:00</t>
  </si>
  <si>
    <t>2023-09-26 16:00:00</t>
  </si>
  <si>
    <t>2023-09-26 17:00:00</t>
  </si>
  <si>
    <t>2023-09-26 18:00:00</t>
  </si>
  <si>
    <t>2023-09-26 19:00:00</t>
  </si>
  <si>
    <t>2023-09-26 20:00:00</t>
  </si>
  <si>
    <t>2023-09-26 21:00:00</t>
  </si>
  <si>
    <t>2023-09-26 22:00:00</t>
  </si>
  <si>
    <t>2023-09-26 23:00:00</t>
  </si>
  <si>
    <t>2023-09-27 0:00:00</t>
  </si>
  <si>
    <t>2023-09-27 1:00:00</t>
  </si>
  <si>
    <t>2023-09-27 2:00:00</t>
  </si>
  <si>
    <t>2023-09-27 3:00:00</t>
  </si>
  <si>
    <t>optimum=156.91253959999995</t>
  </si>
  <si>
    <t>2023-09-27 4:00:00</t>
  </si>
  <si>
    <t xml:space="preserve"> 1 (Time: 0.084s)</t>
  </si>
  <si>
    <t>2023-09-27 5:00:00</t>
  </si>
  <si>
    <t>2023-09-27 6:00:00</t>
  </si>
  <si>
    <t>2023-09-27 7:00:00</t>
  </si>
  <si>
    <t>2023-09-27 8:00:00</t>
  </si>
  <si>
    <t>2023-09-27 9:00:00</t>
  </si>
  <si>
    <t>2023-09-27 10:00:00</t>
  </si>
  <si>
    <t>2023-09-27 11:00:00</t>
  </si>
  <si>
    <t>2023-09-27 12:00:00</t>
  </si>
  <si>
    <t>2023-09-27 13:00:00</t>
  </si>
  <si>
    <t>2023-09-27 14:00:00</t>
  </si>
  <si>
    <t>2023-09-27 15:00:00</t>
  </si>
  <si>
    <t>2023-09-27 16:00:00</t>
  </si>
  <si>
    <t>2023-09-27 17:00:00</t>
  </si>
  <si>
    <t>2023-09-27 18:00:00</t>
  </si>
  <si>
    <t>2023-09-27 19:00:00</t>
  </si>
  <si>
    <t>2023-09-27 20:00:00</t>
  </si>
  <si>
    <t>2023-09-27 21:00:00</t>
  </si>
  <si>
    <t>2023-09-27 22:00:00</t>
  </si>
  <si>
    <t>2023-09-27 23:00:00</t>
  </si>
  <si>
    <t>2023-09-28 0:00:00</t>
  </si>
  <si>
    <t>2023-09-28 1:00:00</t>
  </si>
  <si>
    <t>2023-09-28 2:00:00</t>
  </si>
  <si>
    <t>2023-09-28 3:00:00</t>
  </si>
  <si>
    <t>optimum=-10.328999999999724</t>
  </si>
  <si>
    <t>2023-09-28 4:00:00</t>
  </si>
  <si>
    <t>2023-09-28 5:00:00</t>
  </si>
  <si>
    <t>2023-09-28 6:00:00</t>
  </si>
  <si>
    <t>2023-09-28 7:00:00</t>
  </si>
  <si>
    <t>2023-09-28 8:00:00</t>
  </si>
  <si>
    <t>2023-09-28 9:00:00</t>
  </si>
  <si>
    <t>2023-09-28 10:00:00</t>
  </si>
  <si>
    <t>2023-09-28 11:00:00</t>
  </si>
  <si>
    <t>2023-09-28 12:00:00</t>
  </si>
  <si>
    <t>2023-09-28 13:00:00</t>
  </si>
  <si>
    <t>2023-09-28 14:00:00</t>
  </si>
  <si>
    <t>2023-09-28 15:00:00</t>
  </si>
  <si>
    <t>2023-09-28 16:00:00</t>
  </si>
  <si>
    <t>2023-09-28 17:00:00</t>
  </si>
  <si>
    <t>2023-09-28 18:00:00</t>
  </si>
  <si>
    <t>2023-09-28 19:00:00</t>
  </si>
  <si>
    <t>2023-09-28 20:00:00</t>
  </si>
  <si>
    <t>2023-09-28 21:00:00</t>
  </si>
  <si>
    <t>2023-09-28 22:00:00</t>
  </si>
  <si>
    <t>2023-09-28 23:00:00</t>
  </si>
  <si>
    <t>2023-09-29 0:00:00</t>
  </si>
  <si>
    <t>2023-09-29 1:00:00</t>
  </si>
  <si>
    <t>2023-09-29 2:00:00</t>
  </si>
  <si>
    <t>2023-09-29 3:00:00</t>
  </si>
  <si>
    <t>optimum=139.84290804</t>
  </si>
  <si>
    <t>2023-09-29 4:00:00</t>
  </si>
  <si>
    <t>2023-09-29 5:00:00</t>
  </si>
  <si>
    <t>2023-09-29 6:00:00</t>
  </si>
  <si>
    <t>2023-09-29 7:00:00</t>
  </si>
  <si>
    <t>2023-09-29 8:00:00</t>
  </si>
  <si>
    <t>2023-09-29 9:00:00</t>
  </si>
  <si>
    <t>2023-09-29 10:00:00</t>
  </si>
  <si>
    <t>2023-09-29 11:00:00</t>
  </si>
  <si>
    <t>2023-09-29 12:00:00</t>
  </si>
  <si>
    <t>2023-09-29 13:00:00</t>
  </si>
  <si>
    <t>2023-09-29 14:00:00</t>
  </si>
  <si>
    <t>2023-09-29 15:00:00</t>
  </si>
  <si>
    <t>2023-09-29 16:00:00</t>
  </si>
  <si>
    <t>2023-09-29 17:00:00</t>
  </si>
  <si>
    <t>2023-09-29 18:00:00</t>
  </si>
  <si>
    <t>2023-09-29 19:00:00</t>
  </si>
  <si>
    <t>2023-09-29 20:00:00</t>
  </si>
  <si>
    <t>2023-09-29 21:00:00</t>
  </si>
  <si>
    <t>2023-09-29 22:00:00</t>
  </si>
  <si>
    <t>2023-09-29 23:00:00</t>
  </si>
  <si>
    <t>2023-09-30 0:00:00</t>
  </si>
  <si>
    <t>2023-09-30 1:00:00</t>
  </si>
  <si>
    <t>2023-09-30 2:00:00</t>
  </si>
  <si>
    <t>2023-09-30 3:00:00</t>
  </si>
  <si>
    <t>optimum=175.04534940000008</t>
  </si>
  <si>
    <t>2023-09-30 4:00:00</t>
  </si>
  <si>
    <t>2023-09-30 5:00:00</t>
  </si>
  <si>
    <t>2023-09-30 6:00:00</t>
  </si>
  <si>
    <t>2023-09-30 7:00:00</t>
  </si>
  <si>
    <t>2023-09-30 8:00:00</t>
  </si>
  <si>
    <t>2023-09-30 9:00:00</t>
  </si>
  <si>
    <t>2023-09-30 10:00:00</t>
  </si>
  <si>
    <t>2023-09-30 11:00:00</t>
  </si>
  <si>
    <t>2023-09-30 12:00:00</t>
  </si>
  <si>
    <t>2023-09-30 13:00:00</t>
  </si>
  <si>
    <t>2023-09-30 14:00:00</t>
  </si>
  <si>
    <t>2023-09-30 15:00:00</t>
  </si>
  <si>
    <t>2023-09-30 16:00:00</t>
  </si>
  <si>
    <t>2023-09-30 17:00:00</t>
  </si>
  <si>
    <t>2023-09-30 18:00:00</t>
  </si>
  <si>
    <t>2023-09-30 19:00:00</t>
  </si>
  <si>
    <t>2023-09-30 20:00:00</t>
  </si>
  <si>
    <t>2023-09-30 21:00:00</t>
  </si>
  <si>
    <t>2023-09-30 22:00:00</t>
  </si>
  <si>
    <t>2023-09-30 23:00:00</t>
  </si>
  <si>
    <t>2023-10-21 0:00:00</t>
  </si>
  <si>
    <t>2023-10-21 1:00:00</t>
  </si>
  <si>
    <t>2023-10-21 2:00:00</t>
  </si>
  <si>
    <t>2023-10-21 3:00:00</t>
  </si>
  <si>
    <t>optimum=179.10855943000007</t>
  </si>
  <si>
    <t>2023-10-21 4:00:00</t>
  </si>
  <si>
    <t>2023-10-21 5:00:00</t>
  </si>
  <si>
    <t>2023-10-21 6:00:00</t>
  </si>
  <si>
    <t>2023-10-21 7:00:00</t>
  </si>
  <si>
    <t>2023-10-21 8:00:00</t>
  </si>
  <si>
    <t>2023-10-21 9:00:00</t>
  </si>
  <si>
    <t>2023-10-21 10:00:00</t>
  </si>
  <si>
    <t>2023-10-21 11:00:00</t>
  </si>
  <si>
    <t>2023-10-21 12:00:00</t>
  </si>
  <si>
    <t>2023-10-21 13:00:00</t>
  </si>
  <si>
    <t>2023-10-21 14:00:00</t>
  </si>
  <si>
    <t>2023-10-21 15:00:00</t>
  </si>
  <si>
    <t>2023-10-21 16:00:00</t>
  </si>
  <si>
    <t>2023-10-21 17:00:00</t>
  </si>
  <si>
    <t>2023-10-21 18:00:00</t>
  </si>
  <si>
    <t>2023-10-21 19:00:00</t>
  </si>
  <si>
    <t>2023-10-21 20:00:00</t>
  </si>
  <si>
    <t>2023-10-21 21:00:00</t>
  </si>
  <si>
    <t>2023-10-21 22:00:00</t>
  </si>
  <si>
    <t>2023-10-21 23:00:00</t>
  </si>
  <si>
    <t>2023-10-22 0:00:00</t>
  </si>
  <si>
    <t>2023-10-22 1:00:00</t>
  </si>
  <si>
    <t>2023-10-22 2:00:00</t>
  </si>
  <si>
    <t>2023-10-22 3:00:00</t>
  </si>
  <si>
    <t>optimum=177.51555696999986</t>
  </si>
  <si>
    <t>2023-10-22 4:00:00</t>
  </si>
  <si>
    <t>2023-10-22 5:00:00</t>
  </si>
  <si>
    <t>2023-10-22 6:00:00</t>
  </si>
  <si>
    <t>2023-10-22 7:00:00</t>
  </si>
  <si>
    <t>2023-10-22 8:00:00</t>
  </si>
  <si>
    <t>2023-10-22 9:00:00</t>
  </si>
  <si>
    <t>2023-10-22 10:00:00</t>
  </si>
  <si>
    <t>2023-10-22 11:00:00</t>
  </si>
  <si>
    <t>2023-10-22 12:00:00</t>
  </si>
  <si>
    <t>2023-10-22 13:00:00</t>
  </si>
  <si>
    <t>2023-10-22 14:00:00</t>
  </si>
  <si>
    <t>2023-10-22 15:00:00</t>
  </si>
  <si>
    <t>2023-10-22 16:00:00</t>
  </si>
  <si>
    <t>2023-10-22 17:00:00</t>
  </si>
  <si>
    <t>2023-10-22 18:00:00</t>
  </si>
  <si>
    <t>2023-10-22 19:00:00</t>
  </si>
  <si>
    <t>2023-10-22 20:00:00</t>
  </si>
  <si>
    <t>2023-10-22 21:00:00</t>
  </si>
  <si>
    <t>2023-10-22 22:00:00</t>
  </si>
  <si>
    <t>2023-10-22 23:00:00</t>
  </si>
  <si>
    <t>2023-10-23 0:00:00</t>
  </si>
  <si>
    <t>2023-10-23 1:00:00</t>
  </si>
  <si>
    <t>2023-10-23 2:00:00</t>
  </si>
  <si>
    <t>2023-10-23 3:00:00</t>
  </si>
  <si>
    <t>optimum=207.30594374999993</t>
  </si>
  <si>
    <t>2023-10-23 4:00:00</t>
  </si>
  <si>
    <t>2023-10-23 5:00:00</t>
  </si>
  <si>
    <t>2023-10-23 6:00:00</t>
  </si>
  <si>
    <t>2023-10-23 7:00:00</t>
  </si>
  <si>
    <t>2023-10-23 8:00:00</t>
  </si>
  <si>
    <t>2023-10-23 9:00:00</t>
  </si>
  <si>
    <t>2023-10-23 10:00:00</t>
  </si>
  <si>
    <t>2023-10-23 11:00:00</t>
  </si>
  <si>
    <t>2023-10-23 12:00:00</t>
  </si>
  <si>
    <t>2023-10-23 13:00:00</t>
  </si>
  <si>
    <t>2023-10-23 14:00:00</t>
  </si>
  <si>
    <t>2023-10-23 15:00:00</t>
  </si>
  <si>
    <t>2023-10-23 16:00:00</t>
  </si>
  <si>
    <t>2023-10-23 17:00:00</t>
  </si>
  <si>
    <t>2023-10-23 18:00:00</t>
  </si>
  <si>
    <t>2023-10-23 19:00:00</t>
  </si>
  <si>
    <t>2023-10-23 20:00:00</t>
  </si>
  <si>
    <t>2023-10-23 21:00:00</t>
  </si>
  <si>
    <t>2023-10-23 22:00:00</t>
  </si>
  <si>
    <t>2023-10-23 23:00:00</t>
  </si>
  <si>
    <t>2023-10-24 0:00:00</t>
  </si>
  <si>
    <t>2023-10-24 1:00:00</t>
  </si>
  <si>
    <t>2023-10-24 2:00:00</t>
  </si>
  <si>
    <t>2023-10-24 3:00:00</t>
  </si>
  <si>
    <t>optimum=181.44784963600011</t>
  </si>
  <si>
    <t>2023-10-24 4:00:00</t>
  </si>
  <si>
    <t>2023-10-24 5:00:00</t>
  </si>
  <si>
    <t>2023-10-24 6:00:00</t>
  </si>
  <si>
    <t>2023-10-24 7:00:00</t>
  </si>
  <si>
    <t>2023-10-24 8:00:00</t>
  </si>
  <si>
    <t>2023-10-24 9:00:00</t>
  </si>
  <si>
    <t>2023-10-24 10:00:00</t>
  </si>
  <si>
    <t>2023-10-24 11:00:00</t>
  </si>
  <si>
    <t>2023-10-24 12:00:00</t>
  </si>
  <si>
    <t>2023-10-24 13:00:00</t>
  </si>
  <si>
    <t>2023-10-24 14:00:00</t>
  </si>
  <si>
    <t>2023-10-24 15:00:00</t>
  </si>
  <si>
    <t>2023-10-24 16:00:00</t>
  </si>
  <si>
    <t>2023-10-24 17:00:00</t>
  </si>
  <si>
    <t>2023-10-24 18:00:00</t>
  </si>
  <si>
    <t>2023-10-24 19:00:00</t>
  </si>
  <si>
    <t>2023-10-24 20:00:00</t>
  </si>
  <si>
    <t>2023-10-24 21:00:00</t>
  </si>
  <si>
    <t>2023-10-24 22:00:00</t>
  </si>
  <si>
    <t>2023-10-24 23:00:00</t>
  </si>
  <si>
    <t>2023-10-25 0:00:00</t>
  </si>
  <si>
    <t>2023-10-25 1:00:00</t>
  </si>
  <si>
    <t>2023-10-25 2:00:00</t>
  </si>
  <si>
    <t>2023-10-25 3:00:00</t>
  </si>
  <si>
    <t>optimum=183.29645983300003</t>
  </si>
  <si>
    <t>2023-10-25 4:00:00</t>
  </si>
  <si>
    <t>2023-10-25 5:00:00</t>
  </si>
  <si>
    <t>2023-10-25 6:00:00</t>
  </si>
  <si>
    <t>2023-10-25 7:00:00</t>
  </si>
  <si>
    <t>2023-10-25 8:00:00</t>
  </si>
  <si>
    <t>2023-10-25 9:00:00</t>
  </si>
  <si>
    <t>2023-10-25 10:00:00</t>
  </si>
  <si>
    <t>2023-10-25 11:00:00</t>
  </si>
  <si>
    <t>2023-10-25 12:00:00</t>
  </si>
  <si>
    <t>2023-10-25 13:00:00</t>
  </si>
  <si>
    <t>2023-10-25 14:00:00</t>
  </si>
  <si>
    <t>2023-10-25 15:00:00</t>
  </si>
  <si>
    <t>2023-10-25 16:00:00</t>
  </si>
  <si>
    <t>2023-10-25 17:00:00</t>
  </si>
  <si>
    <t>2023-10-25 18:00:00</t>
  </si>
  <si>
    <t>2023-10-25 19:00:00</t>
  </si>
  <si>
    <t>2023-10-25 20:00:00</t>
  </si>
  <si>
    <t>2023-10-25 21:00:00</t>
  </si>
  <si>
    <t>2023-10-25 22:00:00</t>
  </si>
  <si>
    <t>2023-10-25 23:00:00</t>
  </si>
  <si>
    <t>2023-10-26 0:00:00</t>
  </si>
  <si>
    <t>2023-10-26 1:00:00</t>
  </si>
  <si>
    <t>2023-10-26 2:00:00</t>
  </si>
  <si>
    <t>2023-10-26 3:00:00</t>
  </si>
  <si>
    <t>optimum=162.62445202800035</t>
  </si>
  <si>
    <t>2023-10-26 4:00:00</t>
  </si>
  <si>
    <t>2023-10-26 5:00:00</t>
  </si>
  <si>
    <t>2023-10-26 6:00:00</t>
  </si>
  <si>
    <t>2023-10-26 7:00:00</t>
  </si>
  <si>
    <t>2023-10-26 8:00:00</t>
  </si>
  <si>
    <t>2023-10-26 9:00:00</t>
  </si>
  <si>
    <t>2023-10-26 10:00:00</t>
  </si>
  <si>
    <t>2023-10-26 11:00:00</t>
  </si>
  <si>
    <t>2023-10-26 12:00:00</t>
  </si>
  <si>
    <t>2023-10-26 13:00:00</t>
  </si>
  <si>
    <t>2023-10-26 14:00:00</t>
  </si>
  <si>
    <t>2023-10-26 15:00:00</t>
  </si>
  <si>
    <t>2023-10-26 16:00:00</t>
  </si>
  <si>
    <t>2023-10-26 17:00:00</t>
  </si>
  <si>
    <t>2023-10-26 18:00:00</t>
  </si>
  <si>
    <t>2023-10-26 19:00:00</t>
  </si>
  <si>
    <t>2023-10-26 20:00:00</t>
  </si>
  <si>
    <t>2023-10-26 21:00:00</t>
  </si>
  <si>
    <t>2023-10-26 22:00:00</t>
  </si>
  <si>
    <t>2023-10-26 23:00:00</t>
  </si>
  <si>
    <t>2023-10-27 0:00:00</t>
  </si>
  <si>
    <t>2023-10-27 1:00:00</t>
  </si>
  <si>
    <t>2023-10-27 2:00:00</t>
  </si>
  <si>
    <t>2023-10-27 3:00:00</t>
  </si>
  <si>
    <t>optimum=184.63811990000005</t>
  </si>
  <si>
    <t>2023-10-27 4:00:00</t>
  </si>
  <si>
    <t>2023-10-27 5:00:00</t>
  </si>
  <si>
    <t>2023-10-27 6:00:00</t>
  </si>
  <si>
    <t>2023-10-27 7:00:00</t>
  </si>
  <si>
    <t>2023-10-27 8:00:00</t>
  </si>
  <si>
    <t>2023-10-27 9:00:00</t>
  </si>
  <si>
    <t>2023-10-27 10:00:00</t>
  </si>
  <si>
    <t>2023-10-27 11:00:00</t>
  </si>
  <si>
    <t>2023-10-27 12:00:00</t>
  </si>
  <si>
    <t>2023-10-27 13:00:00</t>
  </si>
  <si>
    <t>2023-10-27 14:00:00</t>
  </si>
  <si>
    <t>2023-10-27 15:00:00</t>
  </si>
  <si>
    <t>2023-10-27 16:00:00</t>
  </si>
  <si>
    <t>2023-10-27 17:00:00</t>
  </si>
  <si>
    <t>2023-10-27 18:00:00</t>
  </si>
  <si>
    <t>2023-10-27 19:00:00</t>
  </si>
  <si>
    <t>2023-10-27 20:00:00</t>
  </si>
  <si>
    <t>2023-10-27 21:00:00</t>
  </si>
  <si>
    <t>2023-10-27 22:00:00</t>
  </si>
  <si>
    <t>2023-10-27 23:00:00</t>
  </si>
  <si>
    <t>2023-10-28 0:00:00</t>
  </si>
  <si>
    <t>2023-10-28 1:00:00</t>
  </si>
  <si>
    <t>2023-10-28 2:00:00</t>
  </si>
  <si>
    <t>2023-10-28 3:00:00</t>
  </si>
  <si>
    <t>optimum=159.5889744000001</t>
  </si>
  <si>
    <t>2023-10-28 4:00:00</t>
  </si>
  <si>
    <t>2023-10-28 5:00:00</t>
  </si>
  <si>
    <t>2023-10-28 6:00:00</t>
  </si>
  <si>
    <t>2023-10-28 7:00:00</t>
  </si>
  <si>
    <t>2023-10-28 8:00:00</t>
  </si>
  <si>
    <t>2023-10-28 9:00:00</t>
  </si>
  <si>
    <t>2023-10-28 10:00:00</t>
  </si>
  <si>
    <t>2023-10-28 11:00:00</t>
  </si>
  <si>
    <t>2023-10-28 12:00:00</t>
  </si>
  <si>
    <t>2023-10-28 13:00:00</t>
  </si>
  <si>
    <t>2023-10-28 14:00:00</t>
  </si>
  <si>
    <t>2023-10-28 15:00:00</t>
  </si>
  <si>
    <t>2023-10-28 16:00:00</t>
  </si>
  <si>
    <t>2023-10-28 17:00:00</t>
  </si>
  <si>
    <t>2023-10-28 18:00:00</t>
  </si>
  <si>
    <t>2023-10-28 19:00:00</t>
  </si>
  <si>
    <t>2023-10-28 20:00:00</t>
  </si>
  <si>
    <t>2023-10-28 21:00:00</t>
  </si>
  <si>
    <t>2023-10-28 22:00:00</t>
  </si>
  <si>
    <t>2023-10-28 23:00:00</t>
  </si>
  <si>
    <t>2023-10-29 0:00:00</t>
  </si>
  <si>
    <t>2023-10-29 1:00:00</t>
  </si>
  <si>
    <t>2023-10-29 2:00:00</t>
  </si>
  <si>
    <t>2023-10-29 3:00:00</t>
  </si>
  <si>
    <t>optimum=178.92452489999985</t>
  </si>
  <si>
    <t>2023-10-29 4:00:00</t>
  </si>
  <si>
    <t>2023-10-29 5:00:00</t>
  </si>
  <si>
    <t>2023-10-29 6:00:00</t>
  </si>
  <si>
    <t>2023-10-29 7:00:00</t>
  </si>
  <si>
    <t>2023-10-29 8:00:00</t>
  </si>
  <si>
    <t>2023-10-29 9:00:00</t>
  </si>
  <si>
    <t>2023-10-29 10:00:00</t>
  </si>
  <si>
    <t>2023-10-29 11:00:00</t>
  </si>
  <si>
    <t>2023-10-29 12:00:00</t>
  </si>
  <si>
    <t>2023-10-29 13:00:00</t>
  </si>
  <si>
    <t>2023-10-29 14:00:00</t>
  </si>
  <si>
    <t>2023-10-29 15:00:00</t>
  </si>
  <si>
    <t>2023-10-29 16:00:00</t>
  </si>
  <si>
    <t>2023-10-29 17:00:00</t>
  </si>
  <si>
    <t>2023-10-29 18:00:00</t>
  </si>
  <si>
    <t>2023-10-29 19:00:00</t>
  </si>
  <si>
    <t>2023-10-29 20:00:00</t>
  </si>
  <si>
    <t>2023-10-29 21:00:00</t>
  </si>
  <si>
    <t>2023-10-29 22:00:00</t>
  </si>
  <si>
    <t>2023-10-29 23:00:00</t>
  </si>
  <si>
    <t>2023-10-30 0:00:00</t>
  </si>
  <si>
    <t>2023-10-30 1:00:00</t>
  </si>
  <si>
    <t>2023-10-30 2:00:00</t>
  </si>
  <si>
    <t>2023-10-30 3:00:00</t>
  </si>
  <si>
    <t>optimum=201.49562349999994</t>
  </si>
  <si>
    <t>2023-10-30 4:00:00</t>
  </si>
  <si>
    <t>2023-10-30 5:00:00</t>
  </si>
  <si>
    <t>2023-10-30 6:00:00</t>
  </si>
  <si>
    <t>2023-10-30 7:00:00</t>
  </si>
  <si>
    <t>2023-10-30 8:00:00</t>
  </si>
  <si>
    <t>2023-10-30 9:00:00</t>
  </si>
  <si>
    <t>2023-10-30 10:00:00</t>
  </si>
  <si>
    <t>2023-10-30 11:00:00</t>
  </si>
  <si>
    <t>2023-10-30 12:00:00</t>
  </si>
  <si>
    <t>2023-10-30 13:00:00</t>
  </si>
  <si>
    <t>2023-10-30 14:00:00</t>
  </si>
  <si>
    <t>2023-10-30 15:00:00</t>
  </si>
  <si>
    <t>2023-10-30 16:00:00</t>
  </si>
  <si>
    <t>2023-10-30 17:00:00</t>
  </si>
  <si>
    <t>2023-10-30 18:00:00</t>
  </si>
  <si>
    <t>2023-10-30 19:00:00</t>
  </si>
  <si>
    <t>2023-10-30 20:00:00</t>
  </si>
  <si>
    <t>2023-10-30 21:00:00</t>
  </si>
  <si>
    <t>2023-10-30 22:00:00</t>
  </si>
  <si>
    <t>2023-10-30 23:00:00</t>
  </si>
  <si>
    <t>2023-10-31 0:00:00</t>
  </si>
  <si>
    <t>2023-10-31 1:00:00</t>
  </si>
  <si>
    <t>2023-10-31 2:00:00</t>
  </si>
  <si>
    <t>2023-10-31 3:00:00</t>
  </si>
  <si>
    <t>optimum=176.17410799999982</t>
  </si>
  <si>
    <t>2023-10-31 4:00:00</t>
  </si>
  <si>
    <t>2023-10-31 5:00:00</t>
  </si>
  <si>
    <t>2023-10-31 6:00:00</t>
  </si>
  <si>
    <t>2023-10-31 7:00:00</t>
  </si>
  <si>
    <t>2023-10-31 8:00:00</t>
  </si>
  <si>
    <t>2023-10-31 9:00:00</t>
  </si>
  <si>
    <t>2023-10-31 10:00:00</t>
  </si>
  <si>
    <t>2023-10-31 11:00:00</t>
  </si>
  <si>
    <t>2023-10-31 12:00:00</t>
  </si>
  <si>
    <t>2023-10-31 13:00:00</t>
  </si>
  <si>
    <t>2023-10-31 14:00:00</t>
  </si>
  <si>
    <t>2023-10-31 15:00:00</t>
  </si>
  <si>
    <t>2023-10-31 16:00:00</t>
  </si>
  <si>
    <t>2023-10-31 17:00:00</t>
  </si>
  <si>
    <t>2023-10-31 18:00:00</t>
  </si>
  <si>
    <t>2023-10-31 19:00:00</t>
  </si>
  <si>
    <t>2023-10-31 20:00:00</t>
  </si>
  <si>
    <t>2023-10-31 21:00:00</t>
  </si>
  <si>
    <t>2023-10-31 22:00:00</t>
  </si>
  <si>
    <t>2023-10-31 23:00:00</t>
  </si>
  <si>
    <t>2023-11-21 0:00:00</t>
  </si>
  <si>
    <t>2023-11-21 1:00:00</t>
  </si>
  <si>
    <t>2023-11-21 2:00:00</t>
  </si>
  <si>
    <t>2023-11-21 3:00:00</t>
  </si>
  <si>
    <t>optimum=68.81495000000027</t>
  </si>
  <si>
    <t>2023-11-21 4:00:00</t>
  </si>
  <si>
    <t>2023-11-21 5:00:00</t>
  </si>
  <si>
    <t>2023-11-21 6:00:00</t>
  </si>
  <si>
    <t>2023-11-21 7:00:00</t>
  </si>
  <si>
    <t>2023-11-21 8:00:00</t>
  </si>
  <si>
    <t>2023-11-21 9:00:00</t>
  </si>
  <si>
    <t>2023-11-21 10:00:00</t>
  </si>
  <si>
    <t>2023-11-21 11:00:00</t>
  </si>
  <si>
    <t>2023-11-21 12:00:00</t>
  </si>
  <si>
    <t>2023-11-21 13:00:00</t>
  </si>
  <si>
    <t>2023-11-21 14:00:00</t>
  </si>
  <si>
    <t>2023-11-21 15:00:00</t>
  </si>
  <si>
    <t>2023-11-21 16:00:00</t>
  </si>
  <si>
    <t>2023-11-21 17:00:00</t>
  </si>
  <si>
    <t>2023-11-21 18:00:00</t>
  </si>
  <si>
    <t>2023-11-21 19:00:00</t>
  </si>
  <si>
    <t>2023-11-21 20:00:00</t>
  </si>
  <si>
    <t>2023-11-21 21:00:00</t>
  </si>
  <si>
    <t>2023-11-21 22:00:00</t>
  </si>
  <si>
    <t>2023-11-21 23:00:00</t>
  </si>
  <si>
    <t>2023-11-22 0:00:00</t>
  </si>
  <si>
    <t>2023-11-22 1:00:00</t>
  </si>
  <si>
    <t>2023-11-22 2:00:00</t>
  </si>
  <si>
    <t>2023-11-22 3:00:00</t>
  </si>
  <si>
    <t>NOT KNOWN</t>
  </si>
  <si>
    <t>2023-11-22 4:00:00</t>
  </si>
  <si>
    <t>2023-11-22 5:00:00</t>
  </si>
  <si>
    <t>NA</t>
  </si>
  <si>
    <t>2023-11-22 6:00:00</t>
  </si>
  <si>
    <t>2023-11-22 7:00:00</t>
  </si>
  <si>
    <t>2023-11-22 8:00:00</t>
  </si>
  <si>
    <t>2023-11-22 9:00:00</t>
  </si>
  <si>
    <t>2023-11-22 10:00:00</t>
  </si>
  <si>
    <t>2023-11-22 11:00:00</t>
  </si>
  <si>
    <t>2023-11-22 12:00:00</t>
  </si>
  <si>
    <t>2023-11-22 13:00:00</t>
  </si>
  <si>
    <t>2023-11-22 14:00:00</t>
  </si>
  <si>
    <t>2023-11-22 15:00:00</t>
  </si>
  <si>
    <t>2023-11-22 16:00:00</t>
  </si>
  <si>
    <t>2023-11-22 17:00:00</t>
  </si>
  <si>
    <t>2023-11-22 18:00:00</t>
  </si>
  <si>
    <t>2023-11-22 19:00:00</t>
  </si>
  <si>
    <t>2023-11-22 20:00:00</t>
  </si>
  <si>
    <t>2023-11-22 21:00:00</t>
  </si>
  <si>
    <t>2023-11-22 22:00:00</t>
  </si>
  <si>
    <t>2023-11-22 23:00:00</t>
  </si>
  <si>
    <t>2023-11-23 0:00:00</t>
  </si>
  <si>
    <t>2023-11-23 1:00:00</t>
  </si>
  <si>
    <t>2023-11-23 2:00:00</t>
  </si>
  <si>
    <t>2023-11-23 3:00:00</t>
  </si>
  <si>
    <t>2023-11-23 4:00:00</t>
  </si>
  <si>
    <t>2023-11-23 5:00:00</t>
  </si>
  <si>
    <t>2023-11-23 6:00:00</t>
  </si>
  <si>
    <t>2023-11-23 7:00:00</t>
  </si>
  <si>
    <t>2023-11-23 8:00:00</t>
  </si>
  <si>
    <t>2023-11-23 9:00:00</t>
  </si>
  <si>
    <t>2023-11-23 10:00:00</t>
  </si>
  <si>
    <t>2023-11-23 11:00:00</t>
  </si>
  <si>
    <t>2023-11-23 12:00:00</t>
  </si>
  <si>
    <t>2023-11-23 13:00:00</t>
  </si>
  <si>
    <t>2023-11-23 14:00:00</t>
  </si>
  <si>
    <t>2023-11-23 15:00:00</t>
  </si>
  <si>
    <t>2023-11-23 16:00:00</t>
  </si>
  <si>
    <t>2023-11-23 17:00:00</t>
  </si>
  <si>
    <t>2023-11-23 18:00:00</t>
  </si>
  <si>
    <t>2023-11-23 19:00:00</t>
  </si>
  <si>
    <t>2023-11-23 20:00:00</t>
  </si>
  <si>
    <t>2023-11-23 21:00:00</t>
  </si>
  <si>
    <t>2023-11-23 22:00:00</t>
  </si>
  <si>
    <t>2023-11-23 23:00:00</t>
  </si>
  <si>
    <t>2023-11-24 0:00:00</t>
  </si>
  <si>
    <t>2023-11-24 1:00:00</t>
  </si>
  <si>
    <t>2023-11-24 2:00:00</t>
  </si>
  <si>
    <t>2023-11-24 3:00:00</t>
  </si>
  <si>
    <t>2023-11-24 4:00:00</t>
  </si>
  <si>
    <t>2023-11-24 5:00:00</t>
  </si>
  <si>
    <t>2023-11-24 6:00:00</t>
  </si>
  <si>
    <t>2023-11-24 7:00:00</t>
  </si>
  <si>
    <t>2023-11-24 8:00:00</t>
  </si>
  <si>
    <t>2023-11-24 9:00:00</t>
  </si>
  <si>
    <t>2023-11-24 10:00:00</t>
  </si>
  <si>
    <t>2023-11-24 11:00:00</t>
  </si>
  <si>
    <t>2023-11-24 12:00:00</t>
  </si>
  <si>
    <t>2023-11-24 13:00:00</t>
  </si>
  <si>
    <t>2023-11-24 14:00:00</t>
  </si>
  <si>
    <t>2023-11-24 15:00:00</t>
  </si>
  <si>
    <t>2023-11-24 16:00:00</t>
  </si>
  <si>
    <t>2023-11-24 17:00:00</t>
  </si>
  <si>
    <t>2023-11-24 18:00:00</t>
  </si>
  <si>
    <t>2023-11-24 19:00:00</t>
  </si>
  <si>
    <t>2023-11-24 20:00:00</t>
  </si>
  <si>
    <t>2023-11-24 21:00:00</t>
  </si>
  <si>
    <t>2023-11-24 22:00:00</t>
  </si>
  <si>
    <t>2023-11-24 23:00:00</t>
  </si>
  <si>
    <t>2023-11-25 0:00:00</t>
  </si>
  <si>
    <t>2023-11-25 1:00:00</t>
  </si>
  <si>
    <t>2023-11-25 2:00:00</t>
  </si>
  <si>
    <t>2023-11-25 3:00:00</t>
  </si>
  <si>
    <t>2023-11-25 4:00:00</t>
  </si>
  <si>
    <t>2023-11-25 5:00:00</t>
  </si>
  <si>
    <t>2023-11-25 6:00:00</t>
  </si>
  <si>
    <t>2023-11-25 7:00:00</t>
  </si>
  <si>
    <t>2023-11-25 8:00:00</t>
  </si>
  <si>
    <t>2023-11-25 9:00:00</t>
  </si>
  <si>
    <t>2023-11-25 10:00:00</t>
  </si>
  <si>
    <t>2023-11-25 11:00:00</t>
  </si>
  <si>
    <t>2023-11-25 12:00:00</t>
  </si>
  <si>
    <t>2023-11-25 13:00:00</t>
  </si>
  <si>
    <t>2023-11-25 14:00:00</t>
  </si>
  <si>
    <t>2023-11-25 15:00:00</t>
  </si>
  <si>
    <t>2023-11-25 16:00:00</t>
  </si>
  <si>
    <t>2023-11-25 17:00:00</t>
  </si>
  <si>
    <t>2023-11-25 18:00:00</t>
  </si>
  <si>
    <t>2023-11-25 19:00:00</t>
  </si>
  <si>
    <t>2023-11-25 20:00:00</t>
  </si>
  <si>
    <t>2023-11-25 21:00:00</t>
  </si>
  <si>
    <t>2023-11-25 22:00:00</t>
  </si>
  <si>
    <t>2023-11-25 23:00:00</t>
  </si>
  <si>
    <t>2023-11-26 0:00:00</t>
  </si>
  <si>
    <t>2023-11-26 1:00:00</t>
  </si>
  <si>
    <t>2023-11-26 2:00:00</t>
  </si>
  <si>
    <t>2023-11-26 3:00:00</t>
  </si>
  <si>
    <t>2023-11-26 4:00:00</t>
  </si>
  <si>
    <t>2023-11-26 5:00:00</t>
  </si>
  <si>
    <t>2023-11-26 6:00:00</t>
  </si>
  <si>
    <t>2023-11-26 7:00:00</t>
  </si>
  <si>
    <t>2023-11-26 8:00:00</t>
  </si>
  <si>
    <t>2023-11-26 9:00:00</t>
  </si>
  <si>
    <t>2023-11-26 10:00:00</t>
  </si>
  <si>
    <t>2023-11-26 11:00:00</t>
  </si>
  <si>
    <t>2023-11-26 12:00:00</t>
  </si>
  <si>
    <t>2023-11-26 13:00:00</t>
  </si>
  <si>
    <t>2023-11-26 14:00:00</t>
  </si>
  <si>
    <t>2023-11-26 15:00:00</t>
  </si>
  <si>
    <t>2023-11-26 16:00:00</t>
  </si>
  <si>
    <t>2023-11-26 17:00:00</t>
  </si>
  <si>
    <t>2023-11-26 18:00:00</t>
  </si>
  <si>
    <t>2023-11-26 19:00:00</t>
  </si>
  <si>
    <t>2023-11-26 20:00:00</t>
  </si>
  <si>
    <t>2023-11-26 21:00:00</t>
  </si>
  <si>
    <t>2023-11-26 22:00:00</t>
  </si>
  <si>
    <t>2023-11-26 23:00:00</t>
  </si>
  <si>
    <t>2023-11-27 0:00:00</t>
  </si>
  <si>
    <t>2023-11-27 1:00:00</t>
  </si>
  <si>
    <t>2023-11-27 2:00:00</t>
  </si>
  <si>
    <t>2023-11-27 3:00:00</t>
  </si>
  <si>
    <t>2023-11-27 4:00:00</t>
  </si>
  <si>
    <t>2023-11-27 5:00:00</t>
  </si>
  <si>
    <t>2023-11-27 6:00:00</t>
  </si>
  <si>
    <t>2023-11-27 7:00:00</t>
  </si>
  <si>
    <t>2023-11-27 8:00:00</t>
  </si>
  <si>
    <t>2023-11-27 9:00:00</t>
  </si>
  <si>
    <t>2023-11-27 10:00:00</t>
  </si>
  <si>
    <t>2023-11-27 11:00:00</t>
  </si>
  <si>
    <t>2023-11-27 12:00:00</t>
  </si>
  <si>
    <t>2023-11-27 13:00:00</t>
  </si>
  <si>
    <t>2023-11-27 14:00:00</t>
  </si>
  <si>
    <t>2023-11-27 15:00:00</t>
  </si>
  <si>
    <t>2023-11-27 16:00:00</t>
  </si>
  <si>
    <t>2023-11-27 17:00:00</t>
  </si>
  <si>
    <t>2023-11-27 18:00:00</t>
  </si>
  <si>
    <t>2023-11-27 19:00:00</t>
  </si>
  <si>
    <t>2023-11-27 20:00:00</t>
  </si>
  <si>
    <t>2023-11-27 21:00:00</t>
  </si>
  <si>
    <t>2023-11-27 22:00:00</t>
  </si>
  <si>
    <t>2023-11-27 23:00:00</t>
  </si>
  <si>
    <t>2023-11-28 0:00:00</t>
  </si>
  <si>
    <t>2023-11-28 1:00:00</t>
  </si>
  <si>
    <t>2023-11-28 2:00:00</t>
  </si>
  <si>
    <t>2023-11-28 3:00:00</t>
  </si>
  <si>
    <t>2023-11-28 4:00:00</t>
  </si>
  <si>
    <t>2023-11-28 5:00:00</t>
  </si>
  <si>
    <t>2023-11-28 6:00:00</t>
  </si>
  <si>
    <t>2023-11-28 7:00:00</t>
  </si>
  <si>
    <t>2023-11-28 8:00:00</t>
  </si>
  <si>
    <t>2023-11-28 9:00:00</t>
  </si>
  <si>
    <t>2023-11-28 10:00:00</t>
  </si>
  <si>
    <t>2023-11-28 11:00:00</t>
  </si>
  <si>
    <t>2023-11-28 12:00:00</t>
  </si>
  <si>
    <t>2023-11-28 13:00:00</t>
  </si>
  <si>
    <t>2023-11-28 14:00:00</t>
  </si>
  <si>
    <t>2023-11-28 15:00:00</t>
  </si>
  <si>
    <t>2023-11-28 16:00:00</t>
  </si>
  <si>
    <t>2023-11-28 17:00:00</t>
  </si>
  <si>
    <t>2023-11-28 18:00:00</t>
  </si>
  <si>
    <t>2023-11-28 19:00:00</t>
  </si>
  <si>
    <t>2023-11-28 20:00:00</t>
  </si>
  <si>
    <t>2023-11-28 21:00:00</t>
  </si>
  <si>
    <t>2023-11-28 22:00:00</t>
  </si>
  <si>
    <t>2023-11-28 23:00:00</t>
  </si>
  <si>
    <t>2023-11-29 0:00:00</t>
  </si>
  <si>
    <t>2023-11-29 1:00:00</t>
  </si>
  <si>
    <t>2023-11-29 2:00:00</t>
  </si>
  <si>
    <t>2023-11-29 3:00:00</t>
  </si>
  <si>
    <t>2023-11-29 4:00:00</t>
  </si>
  <si>
    <t>2023-11-29 5:00:00</t>
  </si>
  <si>
    <t>2023-11-29 6:00:00</t>
  </si>
  <si>
    <t>2023-11-29 7:00:00</t>
  </si>
  <si>
    <t>2023-11-29 8:00:00</t>
  </si>
  <si>
    <t>2023-11-29 9:00:00</t>
  </si>
  <si>
    <t>2023-11-29 10:00:00</t>
  </si>
  <si>
    <t>2023-11-29 11:00:00</t>
  </si>
  <si>
    <t>2023-11-29 12:00:00</t>
  </si>
  <si>
    <t>2023-11-29 13:00:00</t>
  </si>
  <si>
    <t>2023-11-29 14:00:00</t>
  </si>
  <si>
    <t>2023-11-29 15:00:00</t>
  </si>
  <si>
    <t>2023-11-29 16:00:00</t>
  </si>
  <si>
    <t>2023-11-29 17:00:00</t>
  </si>
  <si>
    <t>2023-11-29 18:00:00</t>
  </si>
  <si>
    <t>2023-11-29 19:00:00</t>
  </si>
  <si>
    <t>2023-11-29 20:00:00</t>
  </si>
  <si>
    <t>2023-11-29 21:00:00</t>
  </si>
  <si>
    <t>2023-11-29 22:00:00</t>
  </si>
  <si>
    <t>2023-11-29 23:00:00</t>
  </si>
  <si>
    <t>2023-11-30 0:00:00</t>
  </si>
  <si>
    <t>2023-11-30 1:00:00</t>
  </si>
  <si>
    <t>2023-11-30 2:00:00</t>
  </si>
  <si>
    <t>2023-11-30 3:00:00</t>
  </si>
  <si>
    <t>2023-11-30 4:00:00</t>
  </si>
  <si>
    <t>2023-11-30 5:00:00</t>
  </si>
  <si>
    <t>2023-11-30 6:00:00</t>
  </si>
  <si>
    <t>2023-11-30 7:00:00</t>
  </si>
  <si>
    <t>2023-11-30 8:00:00</t>
  </si>
  <si>
    <t>2023-11-30 9:00:00</t>
  </si>
  <si>
    <t>2023-11-30 10:00:00</t>
  </si>
  <si>
    <t>2023-11-30 11:00:00</t>
  </si>
  <si>
    <t>2023-11-30 12:00:00</t>
  </si>
  <si>
    <t>2023-11-30 13:00:00</t>
  </si>
  <si>
    <t>2023-11-30 14:00:00</t>
  </si>
  <si>
    <t>2023-11-30 15:00:00</t>
  </si>
  <si>
    <t>2023-11-30 16:00:00</t>
  </si>
  <si>
    <t>2023-11-30 17:00:00</t>
  </si>
  <si>
    <t>2023-11-30 18:00:00</t>
  </si>
  <si>
    <t>2023-11-30 19:00:00</t>
  </si>
  <si>
    <t>2023-11-30 20:00:00</t>
  </si>
  <si>
    <t>2023-11-30 21:00:00</t>
  </si>
  <si>
    <t>2023-11-30 22:00:00</t>
  </si>
  <si>
    <t>2023-11-30 23:00:00</t>
  </si>
  <si>
    <t>2023-12-21 0:00:00</t>
  </si>
  <si>
    <t>2023-12-21 1:00:00</t>
  </si>
  <si>
    <t>2023-12-21 2:00:00</t>
  </si>
  <si>
    <t>2023-12-21 3:00:00</t>
  </si>
  <si>
    <t>2023-12-21 4:00:00</t>
  </si>
  <si>
    <t>2023-12-21 5:00:00</t>
  </si>
  <si>
    <t>2023-12-21 6:00:00</t>
  </si>
  <si>
    <t>2023-12-21 7:00:00</t>
  </si>
  <si>
    <t>2023-12-21 8:00:00</t>
  </si>
  <si>
    <t>2023-12-21 9:00:00</t>
  </si>
  <si>
    <t>2023-12-21 10:00:00</t>
  </si>
  <si>
    <t>2023-12-21 11:00:00</t>
  </si>
  <si>
    <t>2023-12-21 12:00:00</t>
  </si>
  <si>
    <t>2023-12-21 13:00:00</t>
  </si>
  <si>
    <t>2023-12-21 14:00:00</t>
  </si>
  <si>
    <t>2023-12-21 15:00:00</t>
  </si>
  <si>
    <t>2023-12-21 16:00:00</t>
  </si>
  <si>
    <t>2023-12-21 17:00:00</t>
  </si>
  <si>
    <t>2023-12-21 18:00:00</t>
  </si>
  <si>
    <t>2023-12-21 19:00:00</t>
  </si>
  <si>
    <t>2023-12-21 20:00:00</t>
  </si>
  <si>
    <t>2023-12-21 21:00:00</t>
  </si>
  <si>
    <t>2023-12-21 22:00:00</t>
  </si>
  <si>
    <t>2023-12-21 23:00:00</t>
  </si>
  <si>
    <t>2023-12-22 0:00:00</t>
  </si>
  <si>
    <t>2023-12-22 1:00:00</t>
  </si>
  <si>
    <t>2023-12-22 2:00:00</t>
  </si>
  <si>
    <t>2023-12-22 3:00:00</t>
  </si>
  <si>
    <t>2023-12-22 4:00:00</t>
  </si>
  <si>
    <t>2023-12-22 5:00:00</t>
  </si>
  <si>
    <t>2023-12-22 6:00:00</t>
  </si>
  <si>
    <t>2023-12-22 7:00:00</t>
  </si>
  <si>
    <t>2023-12-22 8:00:00</t>
  </si>
  <si>
    <t>2023-12-22 9:00:00</t>
  </si>
  <si>
    <t>2023-12-22 10:00:00</t>
  </si>
  <si>
    <t>2023-12-22 11:00:00</t>
  </si>
  <si>
    <t>2023-12-22 12:00:00</t>
  </si>
  <si>
    <t>2023-12-22 13:00:00</t>
  </si>
  <si>
    <t>2023-12-22 14:00:00</t>
  </si>
  <si>
    <t>2023-12-22 15:00:00</t>
  </si>
  <si>
    <t>2023-12-22 16:00:00</t>
  </si>
  <si>
    <t>2023-12-22 17:00:00</t>
  </si>
  <si>
    <t>2023-12-22 18:00:00</t>
  </si>
  <si>
    <t>2023-12-22 19:00:00</t>
  </si>
  <si>
    <t>2023-12-22 20:00:00</t>
  </si>
  <si>
    <t>2023-12-22 21:00:00</t>
  </si>
  <si>
    <t>2023-12-22 22:00:00</t>
  </si>
  <si>
    <t>2023-12-22 23:00:00</t>
  </si>
  <si>
    <t>2023-12-23 0:00:00</t>
  </si>
  <si>
    <t>2023-12-23 1:00:00</t>
  </si>
  <si>
    <t>2023-12-23 2:00:00</t>
  </si>
  <si>
    <t>2023-12-23 3:00:00</t>
  </si>
  <si>
    <t>2023-12-23 4:00:00</t>
  </si>
  <si>
    <t>2023-12-23 5:00:00</t>
  </si>
  <si>
    <t>2023-12-23 6:00:00</t>
  </si>
  <si>
    <t>2023-12-23 7:00:00</t>
  </si>
  <si>
    <t>2023-12-23 8:00:00</t>
  </si>
  <si>
    <t>2023-12-23 9:00:00</t>
  </si>
  <si>
    <t>2023-12-23 10:00:00</t>
  </si>
  <si>
    <t>2023-12-23 11:00:00</t>
  </si>
  <si>
    <t>2023-12-23 12:00:00</t>
  </si>
  <si>
    <t>2023-12-23 13:00:00</t>
  </si>
  <si>
    <t>2023-12-23 14:00:00</t>
  </si>
  <si>
    <t>2023-12-23 15:00:00</t>
  </si>
  <si>
    <t>2023-12-23 16:00:00</t>
  </si>
  <si>
    <t>2023-12-23 17:00:00</t>
  </si>
  <si>
    <t>2023-12-23 18:00:00</t>
  </si>
  <si>
    <t>2023-12-23 19:00:00</t>
  </si>
  <si>
    <t>2023-12-23 20:00:00</t>
  </si>
  <si>
    <t>2023-12-23 21:00:00</t>
  </si>
  <si>
    <t>2023-12-23 22:00:00</t>
  </si>
  <si>
    <t>2023-12-23 23:00:00</t>
  </si>
  <si>
    <t>2023-12-24 0:00:00</t>
  </si>
  <si>
    <t>2023-12-24 1:00:00</t>
  </si>
  <si>
    <t>2023-12-24 2:00:00</t>
  </si>
  <si>
    <t>2023-12-24 3:00:00</t>
  </si>
  <si>
    <t>2023-12-24 4:00:00</t>
  </si>
  <si>
    <t>2023-12-24 5:00:00</t>
  </si>
  <si>
    <t>2023-12-24 6:00:00</t>
  </si>
  <si>
    <t>2023-12-24 7:00:00</t>
  </si>
  <si>
    <t>2023-12-24 8:00:00</t>
  </si>
  <si>
    <t>2023-12-24 9:00:00</t>
  </si>
  <si>
    <t>2023-12-24 10:00:00</t>
  </si>
  <si>
    <t>2023-12-24 11:00:00</t>
  </si>
  <si>
    <t>2023-12-24 12:00:00</t>
  </si>
  <si>
    <t>2023-12-24 13:00:00</t>
  </si>
  <si>
    <t>2023-12-24 14:00:00</t>
  </si>
  <si>
    <t>2023-12-24 15:00:00</t>
  </si>
  <si>
    <t>2023-12-24 16:00:00</t>
  </si>
  <si>
    <t>2023-12-24 17:00:00</t>
  </si>
  <si>
    <t>2023-12-24 18:00:00</t>
  </si>
  <si>
    <t>2023-12-24 19:00:00</t>
  </si>
  <si>
    <t>2023-12-24 20:00:00</t>
  </si>
  <si>
    <t>2023-12-24 21:00:00</t>
  </si>
  <si>
    <t>2023-12-24 22:00:00</t>
  </si>
  <si>
    <t>2023-12-24 23:00:00</t>
  </si>
  <si>
    <t>2023-12-25 0:00:00</t>
  </si>
  <si>
    <t>2023-12-25 1:00:00</t>
  </si>
  <si>
    <t>2023-12-25 2:00:00</t>
  </si>
  <si>
    <t>2023-12-25 3:00:00</t>
  </si>
  <si>
    <t>2023-12-25 4:00:00</t>
  </si>
  <si>
    <t>2023-12-25 5:00:00</t>
  </si>
  <si>
    <t>2023-12-25 6:00:00</t>
  </si>
  <si>
    <t>2023-12-25 7:00:00</t>
  </si>
  <si>
    <t>2023-12-25 8:00:00</t>
  </si>
  <si>
    <t>2023-12-25 9:00:00</t>
  </si>
  <si>
    <t>2023-12-25 10:00:00</t>
  </si>
  <si>
    <t>2023-12-25 11:00:00</t>
  </si>
  <si>
    <t>2023-12-25 12:00:00</t>
  </si>
  <si>
    <t>2023-12-25 13:00:00</t>
  </si>
  <si>
    <t>2023-12-25 14:00:00</t>
  </si>
  <si>
    <t>2023-12-25 15:00:00</t>
  </si>
  <si>
    <t>2023-12-25 16:00:00</t>
  </si>
  <si>
    <t>2023-12-25 17:00:00</t>
  </si>
  <si>
    <t>2023-12-25 18:00:00</t>
  </si>
  <si>
    <t>2023-12-25 19:00:00</t>
  </si>
  <si>
    <t>2023-12-25 20:00:00</t>
  </si>
  <si>
    <t>2023-12-25 21:00:00</t>
  </si>
  <si>
    <t>2023-12-25 22:00:00</t>
  </si>
  <si>
    <t>2023-12-25 23:00:00</t>
  </si>
  <si>
    <t>2023-12-26 0:00:00</t>
  </si>
  <si>
    <t>2023-12-26 1:00:00</t>
  </si>
  <si>
    <t>2023-12-26 2:00:00</t>
  </si>
  <si>
    <t>2023-12-26 3:00:00</t>
  </si>
  <si>
    <t>2023-12-26 4:00:00</t>
  </si>
  <si>
    <t>2023-12-26 5:00:00</t>
  </si>
  <si>
    <t>2023-12-26 6:00:00</t>
  </si>
  <si>
    <t>2023-12-26 7:00:00</t>
  </si>
  <si>
    <t>2023-12-26 8:00:00</t>
  </si>
  <si>
    <t>2023-12-26 9:00:00</t>
  </si>
  <si>
    <t>2023-12-26 10:00:00</t>
  </si>
  <si>
    <t>2023-12-26 11:00:00</t>
  </si>
  <si>
    <t>2023-12-26 12:00:00</t>
  </si>
  <si>
    <t>2023-12-26 13:00:00</t>
  </si>
  <si>
    <t>2023-12-26 14:00:00</t>
  </si>
  <si>
    <t>2023-12-26 15:00:00</t>
  </si>
  <si>
    <t>2023-12-26 16:00:00</t>
  </si>
  <si>
    <t>2023-12-26 17:00:00</t>
  </si>
  <si>
    <t>2023-12-26 18:00:00</t>
  </si>
  <si>
    <t>2023-12-26 19:00:00</t>
  </si>
  <si>
    <t>2023-12-26 20:00:00</t>
  </si>
  <si>
    <t>2023-12-26 21:00:00</t>
  </si>
  <si>
    <t>2023-12-26 22:00:00</t>
  </si>
  <si>
    <t>2023-12-26 23:00:00</t>
  </si>
  <si>
    <t>2023-12-27 0:00:00</t>
  </si>
  <si>
    <t>2023-12-27 1:00:00</t>
  </si>
  <si>
    <t>2023-12-27 2:00:00</t>
  </si>
  <si>
    <t>2023-12-27 3:00:00</t>
  </si>
  <si>
    <t>2023-12-27 4:00:00</t>
  </si>
  <si>
    <t>2023-12-27 5:00:00</t>
  </si>
  <si>
    <t>2023-12-27 6:00:00</t>
  </si>
  <si>
    <t>2023-12-27 7:00:00</t>
  </si>
  <si>
    <t>2023-12-27 8:00:00</t>
  </si>
  <si>
    <t>2023-12-27 9:00:00</t>
  </si>
  <si>
    <t>2023-12-27 10:00:00</t>
  </si>
  <si>
    <t>2023-12-27 11:00:00</t>
  </si>
  <si>
    <t>2023-12-27 12:00:00</t>
  </si>
  <si>
    <t>2023-12-27 13:00:00</t>
  </si>
  <si>
    <t>2023-12-27 14:00:00</t>
  </si>
  <si>
    <t>2023-12-27 15:00:00</t>
  </si>
  <si>
    <t>2023-12-27 16:00:00</t>
  </si>
  <si>
    <t>2023-12-27 17:00:00</t>
  </si>
  <si>
    <t>2023-12-27 18:00:00</t>
  </si>
  <si>
    <t>2023-12-27 19:00:00</t>
  </si>
  <si>
    <t>2023-12-27 20:00:00</t>
  </si>
  <si>
    <t>2023-12-27 21:00:00</t>
  </si>
  <si>
    <t>2023-12-27 22:00:00</t>
  </si>
  <si>
    <t>2023-12-27 23:00:00</t>
  </si>
  <si>
    <t>2023-12-28 0:00:00</t>
  </si>
  <si>
    <t>2023-12-28 1:00:00</t>
  </si>
  <si>
    <t>2023-12-28 2:00:00</t>
  </si>
  <si>
    <t>2023-12-28 3:00:00</t>
  </si>
  <si>
    <t>2023-12-28 4:00:00</t>
  </si>
  <si>
    <t>2023-12-28 5:00:00</t>
  </si>
  <si>
    <t>2023-12-28 6:00:00</t>
  </si>
  <si>
    <t>2023-12-28 7:00:00</t>
  </si>
  <si>
    <t>2023-12-28 8:00:00</t>
  </si>
  <si>
    <t>2023-12-28 9:00:00</t>
  </si>
  <si>
    <t>2023-12-28 10:00:00</t>
  </si>
  <si>
    <t>2023-12-28 11:00:00</t>
  </si>
  <si>
    <t>2023-12-28 12:00:00</t>
  </si>
  <si>
    <t>2023-12-28 13:00:00</t>
  </si>
  <si>
    <t>2023-12-28 14:00:00</t>
  </si>
  <si>
    <t>2023-12-28 15:00:00</t>
  </si>
  <si>
    <t>2023-12-28 16:00:00</t>
  </si>
  <si>
    <t>2023-12-28 17:00:00</t>
  </si>
  <si>
    <t>2023-12-28 18:00:00</t>
  </si>
  <si>
    <t>2023-12-28 19:00:00</t>
  </si>
  <si>
    <t>2023-12-28 20:00:00</t>
  </si>
  <si>
    <t>2023-12-28 21:00:00</t>
  </si>
  <si>
    <t>2023-12-28 22:00:00</t>
  </si>
  <si>
    <t>2023-12-28 23:00:00</t>
  </si>
  <si>
    <t>2023-12-29 0:00:00</t>
  </si>
  <si>
    <t>2023-12-29 1:00:00</t>
  </si>
  <si>
    <t>2023-12-29 2:00:00</t>
  </si>
  <si>
    <t>2023-12-29 3:00:00</t>
  </si>
  <si>
    <t>2023-12-29 4:00:00</t>
  </si>
  <si>
    <t>2023-12-29 5:00:00</t>
  </si>
  <si>
    <t>2023-12-29 6:00:00</t>
  </si>
  <si>
    <t>2023-12-29 7:00:00</t>
  </si>
  <si>
    <t>2023-12-29 8:00:00</t>
  </si>
  <si>
    <t>2023-12-29 9:00:00</t>
  </si>
  <si>
    <t>2023-12-29 10:00:00</t>
  </si>
  <si>
    <t>2023-12-29 11:00:00</t>
  </si>
  <si>
    <t>2023-12-29 12:00:00</t>
  </si>
  <si>
    <t>2023-12-29 13:00:00</t>
  </si>
  <si>
    <t>2023-12-29 14:00:00</t>
  </si>
  <si>
    <t>2023-12-29 15:00:00</t>
  </si>
  <si>
    <t>2023-12-29 16:00:00</t>
  </si>
  <si>
    <t>2023-12-29 17:00:00</t>
  </si>
  <si>
    <t>2023-12-29 18:00:00</t>
  </si>
  <si>
    <t>2023-12-29 19:00:00</t>
  </si>
  <si>
    <t>2023-12-29 20:00:00</t>
  </si>
  <si>
    <t>2023-12-29 21:00:00</t>
  </si>
  <si>
    <t>2023-12-29 22:00:00</t>
  </si>
  <si>
    <t>2023-12-29 23:00:00</t>
  </si>
  <si>
    <t>2023-12-30 0:00:00</t>
  </si>
  <si>
    <t>2023-12-30 1:00:00</t>
  </si>
  <si>
    <t>2023-12-30 2:00:00</t>
  </si>
  <si>
    <t>2023-12-30 3:00:00</t>
  </si>
  <si>
    <t>2023-12-30 4:00:00</t>
  </si>
  <si>
    <t>2023-12-30 5:00:00</t>
  </si>
  <si>
    <t>2023-12-30 6:00:00</t>
  </si>
  <si>
    <t>2023-12-30 7:00:00</t>
  </si>
  <si>
    <t>2023-12-30 8:00:00</t>
  </si>
  <si>
    <t>2023-12-30 9:00:00</t>
  </si>
  <si>
    <t>2023-12-30 10:00:00</t>
  </si>
  <si>
    <t>2023-12-30 11:00:00</t>
  </si>
  <si>
    <t>2023-12-30 12:00:00</t>
  </si>
  <si>
    <t>2023-12-30 13:00:00</t>
  </si>
  <si>
    <t>2023-12-30 14:00:00</t>
  </si>
  <si>
    <t>2023-12-30 15:00:00</t>
  </si>
  <si>
    <t>2023-12-30 16:00:00</t>
  </si>
  <si>
    <t>2023-12-30 17:00:00</t>
  </si>
  <si>
    <t>Time Hour</t>
  </si>
  <si>
    <t>Discharge</t>
  </si>
  <si>
    <t>Charge</t>
  </si>
  <si>
    <t>Production</t>
  </si>
  <si>
    <t>Consumption</t>
  </si>
  <si>
    <t>Feed-in</t>
  </si>
  <si>
    <t>From grid</t>
  </si>
  <si>
    <t>Init Charge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</si>
</sst>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10" fontId="0" fillId="0" borderId="0" xfId="0" applyNumberFormat="1"/>
    <xf numFmtId="2" fontId="0" fillId="0" borderId="0" xfId="0" applyNumberFormat="1"/>
    <xf numFmtId="22" fontId="0" fillId="0" borderId="0" xfId="0" applyNumberFormat="1"/>
    <xf numFmtId="21" fontId="0" fillId="0" borderId="0" xfId="0" applyNumberFormat="1"/>
    <xf numFmtId="0" fontId="1" fillId="0" borderId="0" xfId="0" applyFont="1"/>
    <xf numFmtId="0" fontId="1" fillId="0" borderId="0" xfId="0" applyFont="1" applyAlignment="1">
      <alignment horizontal="center"/>
    </xf>
    <xf numFmtId="0" fontId="0" fillId="0" borderId="0" xfId="0" applyAlignment="1">
      <alignment horizontal="left"/>
    </xf>
  </cellXfs>
  <cellStyles count="1">
    <cellStyle name="Normale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styles" Target="styles.xml"/><Relationship Id="rId5" Type="http://schemas.openxmlformats.org/officeDocument/2006/relationships/worksheet" Target="worksheets/sheet5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sharedStrings" Target="sharedString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theme" Target="theme/theme1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26"/>
  <sheetViews>
    <sheetView workbookViewId="0"/>
  </sheetViews>
  <sheetFormatPr baseColWidth="10" defaultColWidth="8.83203125" defaultRowHeight="15" x14ac:dyDescent="0.2"/>
  <sheetData>
    <row r="1" spans="1:24" x14ac:dyDescent="0.2">
      <c r="A1" t="s">
        <v>0</v>
      </c>
      <c r="D1" t="s">
        <v>1</v>
      </c>
      <c r="L1" t="s">
        <v>2</v>
      </c>
      <c r="R1" t="s">
        <v>3</v>
      </c>
      <c r="S1" s="1">
        <v>0.8</v>
      </c>
      <c r="T1">
        <f>S1*V1</f>
        <v>80</v>
      </c>
      <c r="U1" t="s">
        <v>4</v>
      </c>
      <c r="V1">
        <v>100</v>
      </c>
      <c r="W1" t="s">
        <v>5</v>
      </c>
      <c r="X1" s="1">
        <v>0.1</v>
      </c>
    </row>
    <row r="2" spans="1:24" x14ac:dyDescent="0.2">
      <c r="A2" t="s">
        <v>6</v>
      </c>
      <c r="B2" t="s">
        <v>7</v>
      </c>
      <c r="C2" t="s">
        <v>8</v>
      </c>
      <c r="D2" t="s">
        <v>9</v>
      </c>
      <c r="E2" t="s">
        <v>10</v>
      </c>
      <c r="F2" t="s">
        <v>11</v>
      </c>
      <c r="G2" t="s">
        <v>12</v>
      </c>
      <c r="H2" t="s">
        <v>13</v>
      </c>
      <c r="I2" t="s">
        <v>14</v>
      </c>
      <c r="L2" t="s">
        <v>6</v>
      </c>
      <c r="M2" t="s">
        <v>7</v>
      </c>
      <c r="N2" t="s">
        <v>8</v>
      </c>
      <c r="O2" t="s">
        <v>9</v>
      </c>
      <c r="P2" t="s">
        <v>10</v>
      </c>
      <c r="Q2" t="s">
        <v>11</v>
      </c>
      <c r="R2" t="s">
        <v>12</v>
      </c>
      <c r="S2" t="s">
        <v>13</v>
      </c>
      <c r="T2" t="s">
        <v>14</v>
      </c>
      <c r="W2" t="s">
        <v>15</v>
      </c>
      <c r="X2" s="1">
        <v>1</v>
      </c>
    </row>
    <row r="3" spans="1:24" x14ac:dyDescent="0.2">
      <c r="A3" t="s">
        <v>16</v>
      </c>
      <c r="D3">
        <v>0</v>
      </c>
      <c r="E3">
        <v>6.4042000000000003</v>
      </c>
      <c r="L3" t="s">
        <v>16</v>
      </c>
      <c r="M3">
        <v>6.4039999999999999</v>
      </c>
      <c r="N3">
        <v>0</v>
      </c>
      <c r="O3">
        <v>0</v>
      </c>
      <c r="P3">
        <v>6.4042000000000003</v>
      </c>
      <c r="Q3">
        <v>0</v>
      </c>
      <c r="R3">
        <v>0</v>
      </c>
      <c r="S3" s="1">
        <f t="shared" ref="S3:S26" si="0">T3/V$1</f>
        <v>0.73596000000000006</v>
      </c>
      <c r="T3" s="2">
        <f>T1-M3+N3</f>
        <v>73.596000000000004</v>
      </c>
    </row>
    <row r="4" spans="1:24" x14ac:dyDescent="0.2">
      <c r="A4" t="s">
        <v>17</v>
      </c>
      <c r="D4">
        <v>0</v>
      </c>
      <c r="E4">
        <v>6.6728997000000003</v>
      </c>
      <c r="L4" t="s">
        <v>17</v>
      </c>
      <c r="M4">
        <v>6.673</v>
      </c>
      <c r="N4">
        <v>0</v>
      </c>
      <c r="O4">
        <v>0</v>
      </c>
      <c r="P4">
        <v>6.6728997000000003</v>
      </c>
      <c r="Q4">
        <v>0</v>
      </c>
      <c r="R4">
        <v>0</v>
      </c>
      <c r="S4" s="1">
        <f t="shared" si="0"/>
        <v>0.66922999999999999</v>
      </c>
      <c r="T4" s="2">
        <f t="shared" ref="T4:T26" si="1">T3-M4+N4</f>
        <v>66.923000000000002</v>
      </c>
    </row>
    <row r="5" spans="1:24" x14ac:dyDescent="0.2">
      <c r="A5" t="s">
        <v>18</v>
      </c>
      <c r="D5">
        <v>0</v>
      </c>
      <c r="E5">
        <v>6.8208500000000001</v>
      </c>
      <c r="L5" t="s">
        <v>18</v>
      </c>
      <c r="M5">
        <v>6.8209999999999997</v>
      </c>
      <c r="N5">
        <v>0</v>
      </c>
      <c r="O5">
        <v>0</v>
      </c>
      <c r="P5">
        <v>6.8208500000000001</v>
      </c>
      <c r="Q5">
        <v>0</v>
      </c>
      <c r="R5">
        <v>0</v>
      </c>
      <c r="S5" s="1">
        <f t="shared" si="0"/>
        <v>0.60102</v>
      </c>
      <c r="T5" s="2">
        <f t="shared" si="1"/>
        <v>60.102000000000004</v>
      </c>
    </row>
    <row r="6" spans="1:24" x14ac:dyDescent="0.2">
      <c r="A6" t="s">
        <v>19</v>
      </c>
      <c r="D6">
        <v>0</v>
      </c>
      <c r="E6">
        <v>6.9009504000000002</v>
      </c>
      <c r="L6" t="s">
        <v>19</v>
      </c>
      <c r="M6">
        <v>6.9009999999999998</v>
      </c>
      <c r="N6">
        <v>0</v>
      </c>
      <c r="O6">
        <v>0</v>
      </c>
      <c r="P6">
        <v>6.9009504000000002</v>
      </c>
      <c r="Q6">
        <v>0</v>
      </c>
      <c r="R6">
        <v>0</v>
      </c>
      <c r="S6" s="1">
        <f t="shared" si="0"/>
        <v>0.53201000000000009</v>
      </c>
      <c r="T6" s="2">
        <f t="shared" si="1"/>
        <v>53.201000000000008</v>
      </c>
      <c r="V6" t="s">
        <v>20</v>
      </c>
      <c r="W6" t="s">
        <v>21</v>
      </c>
    </row>
    <row r="7" spans="1:24" x14ac:dyDescent="0.2">
      <c r="A7" t="s">
        <v>22</v>
      </c>
      <c r="D7">
        <v>0</v>
      </c>
      <c r="E7">
        <v>6.7004666000000004</v>
      </c>
      <c r="L7" t="s">
        <v>22</v>
      </c>
      <c r="M7">
        <v>6.7</v>
      </c>
      <c r="N7">
        <v>0</v>
      </c>
      <c r="O7">
        <v>0</v>
      </c>
      <c r="P7">
        <v>6.7004666000000004</v>
      </c>
      <c r="Q7">
        <v>0</v>
      </c>
      <c r="R7">
        <v>0</v>
      </c>
      <c r="S7" s="1">
        <f t="shared" si="0"/>
        <v>0.46501000000000003</v>
      </c>
      <c r="T7" s="2">
        <f t="shared" si="1"/>
        <v>46.501000000000005</v>
      </c>
      <c r="V7" t="s">
        <v>23</v>
      </c>
      <c r="W7" t="s">
        <v>24</v>
      </c>
    </row>
    <row r="8" spans="1:24" x14ac:dyDescent="0.2">
      <c r="A8" t="s">
        <v>25</v>
      </c>
      <c r="D8">
        <v>0</v>
      </c>
      <c r="E8">
        <v>5.4985999999999997</v>
      </c>
      <c r="L8" t="s">
        <v>25</v>
      </c>
      <c r="M8">
        <v>5.4989999999999997</v>
      </c>
      <c r="N8">
        <v>0</v>
      </c>
      <c r="O8">
        <v>0</v>
      </c>
      <c r="P8">
        <v>5.4985999999999997</v>
      </c>
      <c r="Q8">
        <v>0</v>
      </c>
      <c r="R8">
        <v>0</v>
      </c>
      <c r="S8" s="1">
        <f t="shared" si="0"/>
        <v>0.41002000000000005</v>
      </c>
      <c r="T8" s="2">
        <f t="shared" si="1"/>
        <v>41.002000000000002</v>
      </c>
      <c r="V8" t="s">
        <v>26</v>
      </c>
      <c r="W8">
        <v>8.2000000000000003E-2</v>
      </c>
    </row>
    <row r="9" spans="1:24" x14ac:dyDescent="0.2">
      <c r="A9" t="s">
        <v>27</v>
      </c>
      <c r="D9">
        <v>0.115675256</v>
      </c>
      <c r="E9">
        <v>6.6673999999999998</v>
      </c>
      <c r="L9" t="s">
        <v>27</v>
      </c>
      <c r="M9">
        <v>6.5519999999999996</v>
      </c>
      <c r="N9">
        <v>0</v>
      </c>
      <c r="O9">
        <v>0.115675256</v>
      </c>
      <c r="P9">
        <v>6.6673999999999998</v>
      </c>
      <c r="Q9">
        <v>0</v>
      </c>
      <c r="R9">
        <v>0</v>
      </c>
      <c r="S9" s="1">
        <f t="shared" si="0"/>
        <v>0.34450000000000003</v>
      </c>
      <c r="T9" s="2">
        <f t="shared" si="1"/>
        <v>34.450000000000003</v>
      </c>
      <c r="V9" t="s">
        <v>28</v>
      </c>
      <c r="W9">
        <f>W8/60</f>
        <v>1.3666666666666666E-3</v>
      </c>
    </row>
    <row r="10" spans="1:24" x14ac:dyDescent="0.2">
      <c r="A10" t="s">
        <v>29</v>
      </c>
      <c r="D10">
        <v>4.2928753000000004</v>
      </c>
      <c r="E10">
        <v>6.3294499999999996</v>
      </c>
      <c r="L10" t="s">
        <v>29</v>
      </c>
      <c r="M10">
        <v>2.0369999999999999</v>
      </c>
      <c r="N10">
        <v>0</v>
      </c>
      <c r="O10">
        <v>4.2928753000000004</v>
      </c>
      <c r="P10">
        <v>6.3294499999999996</v>
      </c>
      <c r="Q10">
        <v>0</v>
      </c>
      <c r="R10">
        <v>0</v>
      </c>
      <c r="S10" s="1">
        <f t="shared" si="0"/>
        <v>0.32413000000000003</v>
      </c>
      <c r="T10" s="2">
        <f t="shared" si="1"/>
        <v>32.413000000000004</v>
      </c>
    </row>
    <row r="11" spans="1:24" x14ac:dyDescent="0.2">
      <c r="A11" t="s">
        <v>30</v>
      </c>
      <c r="D11">
        <v>15.8497</v>
      </c>
      <c r="E11">
        <v>8.7278500000000001</v>
      </c>
      <c r="L11" t="s">
        <v>30</v>
      </c>
      <c r="M11">
        <v>0</v>
      </c>
      <c r="N11">
        <v>0</v>
      </c>
      <c r="O11">
        <v>15.8497</v>
      </c>
      <c r="P11">
        <v>8.7278500000000001</v>
      </c>
      <c r="Q11">
        <v>7.1218500000000002</v>
      </c>
      <c r="R11">
        <v>0</v>
      </c>
      <c r="S11" s="1">
        <f t="shared" si="0"/>
        <v>0.32413000000000003</v>
      </c>
      <c r="T11" s="2">
        <f t="shared" si="1"/>
        <v>32.413000000000004</v>
      </c>
    </row>
    <row r="12" spans="1:24" x14ac:dyDescent="0.2">
      <c r="A12" t="s">
        <v>31</v>
      </c>
      <c r="D12">
        <v>27.076499999999999</v>
      </c>
      <c r="E12">
        <v>12.939033500000001</v>
      </c>
      <c r="L12" t="s">
        <v>31</v>
      </c>
      <c r="M12">
        <v>0</v>
      </c>
      <c r="N12">
        <v>0</v>
      </c>
      <c r="O12">
        <v>27.076499999999999</v>
      </c>
      <c r="P12">
        <v>12.939033500000001</v>
      </c>
      <c r="Q12">
        <v>14.1374665</v>
      </c>
      <c r="R12">
        <v>0</v>
      </c>
      <c r="S12" s="1">
        <f t="shared" si="0"/>
        <v>0.32413000000000003</v>
      </c>
      <c r="T12" s="2">
        <f t="shared" si="1"/>
        <v>32.413000000000004</v>
      </c>
    </row>
    <row r="13" spans="1:24" x14ac:dyDescent="0.2">
      <c r="A13" t="s">
        <v>32</v>
      </c>
      <c r="D13">
        <v>35.088875000000002</v>
      </c>
      <c r="E13">
        <v>10.603</v>
      </c>
      <c r="L13" t="s">
        <v>32</v>
      </c>
      <c r="M13">
        <v>0</v>
      </c>
      <c r="N13">
        <v>6.1829999999999998</v>
      </c>
      <c r="O13">
        <v>35.088875000000002</v>
      </c>
      <c r="P13">
        <v>10.603</v>
      </c>
      <c r="Q13">
        <v>18.302875</v>
      </c>
      <c r="R13">
        <v>0</v>
      </c>
      <c r="S13" s="1">
        <f t="shared" si="0"/>
        <v>0.38596000000000003</v>
      </c>
      <c r="T13" s="2">
        <f t="shared" si="1"/>
        <v>38.596000000000004</v>
      </c>
    </row>
    <row r="14" spans="1:24" x14ac:dyDescent="0.2">
      <c r="A14" t="s">
        <v>33</v>
      </c>
      <c r="D14">
        <v>39.588650000000001</v>
      </c>
      <c r="E14">
        <v>9.7815329999999996</v>
      </c>
      <c r="L14" t="s">
        <v>33</v>
      </c>
      <c r="M14">
        <v>0</v>
      </c>
      <c r="N14">
        <v>29.806999999999999</v>
      </c>
      <c r="O14">
        <v>39.588650000000001</v>
      </c>
      <c r="P14">
        <v>9.7815329999999996</v>
      </c>
      <c r="Q14">
        <v>0</v>
      </c>
      <c r="R14">
        <v>0</v>
      </c>
      <c r="S14" s="1">
        <f t="shared" si="0"/>
        <v>0.68403000000000003</v>
      </c>
      <c r="T14" s="2">
        <f t="shared" si="1"/>
        <v>68.403000000000006</v>
      </c>
    </row>
    <row r="15" spans="1:24" x14ac:dyDescent="0.2">
      <c r="A15" t="s">
        <v>34</v>
      </c>
      <c r="D15">
        <v>43.560448000000001</v>
      </c>
      <c r="E15">
        <v>11.9833</v>
      </c>
      <c r="L15" t="s">
        <v>34</v>
      </c>
      <c r="M15">
        <v>0</v>
      </c>
      <c r="N15">
        <v>0</v>
      </c>
      <c r="O15">
        <v>43.560448000000001</v>
      </c>
      <c r="P15">
        <v>11.9833</v>
      </c>
      <c r="Q15">
        <v>31.577148000000001</v>
      </c>
      <c r="R15">
        <v>0</v>
      </c>
      <c r="S15" s="1">
        <f t="shared" si="0"/>
        <v>0.68403000000000003</v>
      </c>
      <c r="T15" s="2">
        <f t="shared" si="1"/>
        <v>68.403000000000006</v>
      </c>
    </row>
    <row r="16" spans="1:24" x14ac:dyDescent="0.2">
      <c r="A16" t="s">
        <v>35</v>
      </c>
      <c r="D16">
        <v>43.405642999999998</v>
      </c>
      <c r="E16">
        <v>11.80925</v>
      </c>
      <c r="L16" t="s">
        <v>35</v>
      </c>
      <c r="M16">
        <v>0</v>
      </c>
      <c r="N16">
        <v>31.596</v>
      </c>
      <c r="O16">
        <v>43.405642999999998</v>
      </c>
      <c r="P16">
        <v>11.80925</v>
      </c>
      <c r="Q16">
        <v>0</v>
      </c>
      <c r="R16">
        <v>0</v>
      </c>
      <c r="S16" s="1">
        <f t="shared" si="0"/>
        <v>0.99999000000000005</v>
      </c>
      <c r="T16" s="2">
        <f t="shared" si="1"/>
        <v>99.999000000000009</v>
      </c>
    </row>
    <row r="17" spans="1:20" x14ac:dyDescent="0.2">
      <c r="A17" t="s">
        <v>36</v>
      </c>
      <c r="D17">
        <v>41.537350000000004</v>
      </c>
      <c r="E17">
        <v>12.0157995</v>
      </c>
      <c r="L17" t="s">
        <v>36</v>
      </c>
      <c r="M17">
        <v>0</v>
      </c>
      <c r="N17">
        <v>0</v>
      </c>
      <c r="O17">
        <v>41.537350000000004</v>
      </c>
      <c r="P17">
        <v>12.0157995</v>
      </c>
      <c r="Q17">
        <v>29.5215505</v>
      </c>
      <c r="R17">
        <v>0</v>
      </c>
      <c r="S17" s="1">
        <f t="shared" si="0"/>
        <v>0.99999000000000005</v>
      </c>
      <c r="T17" s="2">
        <f t="shared" si="1"/>
        <v>99.999000000000009</v>
      </c>
    </row>
    <row r="18" spans="1:20" x14ac:dyDescent="0.2">
      <c r="A18" t="s">
        <v>37</v>
      </c>
      <c r="D18">
        <v>36.440925999999997</v>
      </c>
      <c r="E18">
        <v>11.801500000000001</v>
      </c>
      <c r="L18" t="s">
        <v>37</v>
      </c>
      <c r="M18">
        <v>0</v>
      </c>
      <c r="N18">
        <v>0</v>
      </c>
      <c r="O18">
        <v>36.440925999999997</v>
      </c>
      <c r="P18">
        <v>11.801500000000001</v>
      </c>
      <c r="Q18">
        <v>24.639426</v>
      </c>
      <c r="R18">
        <v>0</v>
      </c>
      <c r="S18" s="1">
        <f t="shared" si="0"/>
        <v>0.99999000000000005</v>
      </c>
      <c r="T18" s="2">
        <f t="shared" si="1"/>
        <v>99.999000000000009</v>
      </c>
    </row>
    <row r="19" spans="1:20" x14ac:dyDescent="0.2">
      <c r="A19" t="s">
        <v>38</v>
      </c>
      <c r="D19">
        <v>27.303374999999999</v>
      </c>
      <c r="E19">
        <v>11.962759999999999</v>
      </c>
      <c r="L19" t="s">
        <v>38</v>
      </c>
      <c r="M19">
        <v>0</v>
      </c>
      <c r="N19">
        <v>0</v>
      </c>
      <c r="O19">
        <v>27.303374999999999</v>
      </c>
      <c r="P19">
        <v>11.962759999999999</v>
      </c>
      <c r="Q19">
        <v>15.340615</v>
      </c>
      <c r="R19">
        <v>0</v>
      </c>
      <c r="S19" s="1">
        <f t="shared" si="0"/>
        <v>0.99999000000000005</v>
      </c>
      <c r="T19" s="2">
        <f t="shared" si="1"/>
        <v>99.999000000000009</v>
      </c>
    </row>
    <row r="20" spans="1:20" x14ac:dyDescent="0.2">
      <c r="A20" t="s">
        <v>39</v>
      </c>
      <c r="D20">
        <v>5.1340503999999996</v>
      </c>
      <c r="E20">
        <v>9.5371500000000005</v>
      </c>
      <c r="L20" t="s">
        <v>39</v>
      </c>
      <c r="M20">
        <v>4.4029999999999996</v>
      </c>
      <c r="N20">
        <v>0</v>
      </c>
      <c r="O20">
        <v>5.1340503999999996</v>
      </c>
      <c r="P20">
        <v>9.5371500000000005</v>
      </c>
      <c r="Q20">
        <v>0</v>
      </c>
      <c r="R20">
        <v>0</v>
      </c>
      <c r="S20" s="1">
        <f t="shared" si="0"/>
        <v>0.95596000000000003</v>
      </c>
      <c r="T20" s="2">
        <f t="shared" si="1"/>
        <v>95.596000000000004</v>
      </c>
    </row>
    <row r="21" spans="1:20" x14ac:dyDescent="0.2">
      <c r="A21" t="s">
        <v>40</v>
      </c>
      <c r="D21">
        <v>2.5334751999999998</v>
      </c>
      <c r="E21">
        <v>11.958099000000001</v>
      </c>
      <c r="L21" t="s">
        <v>40</v>
      </c>
      <c r="M21">
        <v>9.4250000000000007</v>
      </c>
      <c r="N21">
        <v>0</v>
      </c>
      <c r="O21">
        <v>2.5334751999999998</v>
      </c>
      <c r="P21">
        <v>11.958099000000001</v>
      </c>
      <c r="Q21">
        <v>0</v>
      </c>
      <c r="R21">
        <v>0</v>
      </c>
      <c r="S21" s="1">
        <f t="shared" si="0"/>
        <v>0.86171000000000009</v>
      </c>
      <c r="T21" s="2">
        <f t="shared" si="1"/>
        <v>86.171000000000006</v>
      </c>
    </row>
    <row r="22" spans="1:20" x14ac:dyDescent="0.2">
      <c r="A22" t="s">
        <v>41</v>
      </c>
      <c r="D22">
        <v>0.37852487000000001</v>
      </c>
      <c r="E22">
        <v>10.872299999999999</v>
      </c>
      <c r="L22" t="s">
        <v>41</v>
      </c>
      <c r="M22">
        <v>10.494</v>
      </c>
      <c r="N22">
        <v>0</v>
      </c>
      <c r="O22">
        <v>0.37852487000000001</v>
      </c>
      <c r="P22">
        <v>10.872299999999999</v>
      </c>
      <c r="Q22">
        <v>0</v>
      </c>
      <c r="R22">
        <v>0</v>
      </c>
      <c r="S22" s="1">
        <f t="shared" si="0"/>
        <v>0.75677000000000005</v>
      </c>
      <c r="T22" s="2">
        <f t="shared" si="1"/>
        <v>75.677000000000007</v>
      </c>
    </row>
    <row r="23" spans="1:20" x14ac:dyDescent="0.2">
      <c r="A23" t="s">
        <v>42</v>
      </c>
      <c r="D23">
        <v>0</v>
      </c>
      <c r="E23">
        <v>10.150634</v>
      </c>
      <c r="L23" t="s">
        <v>42</v>
      </c>
      <c r="M23">
        <v>10.151</v>
      </c>
      <c r="N23">
        <v>0</v>
      </c>
      <c r="O23">
        <v>0</v>
      </c>
      <c r="P23">
        <v>10.150634</v>
      </c>
      <c r="Q23">
        <v>0</v>
      </c>
      <c r="R23">
        <v>0</v>
      </c>
      <c r="S23" s="1">
        <f t="shared" si="0"/>
        <v>0.65526000000000006</v>
      </c>
      <c r="T23" s="2">
        <f t="shared" si="1"/>
        <v>65.52600000000001</v>
      </c>
    </row>
    <row r="24" spans="1:20" x14ac:dyDescent="0.2">
      <c r="A24" t="s">
        <v>43</v>
      </c>
      <c r="D24">
        <v>0</v>
      </c>
      <c r="E24">
        <v>12.092167</v>
      </c>
      <c r="L24" t="s">
        <v>43</v>
      </c>
      <c r="M24">
        <v>12.092000000000001</v>
      </c>
      <c r="N24">
        <v>0</v>
      </c>
      <c r="O24">
        <v>0</v>
      </c>
      <c r="P24">
        <v>12.092167</v>
      </c>
      <c r="Q24">
        <v>0</v>
      </c>
      <c r="R24">
        <v>0</v>
      </c>
      <c r="S24" s="1">
        <f t="shared" si="0"/>
        <v>0.53434000000000015</v>
      </c>
      <c r="T24" s="2">
        <f t="shared" si="1"/>
        <v>53.434000000000012</v>
      </c>
    </row>
    <row r="25" spans="1:20" x14ac:dyDescent="0.2">
      <c r="A25" t="s">
        <v>44</v>
      </c>
      <c r="D25">
        <v>0</v>
      </c>
      <c r="E25">
        <v>8.6017329999999994</v>
      </c>
      <c r="L25" t="s">
        <v>44</v>
      </c>
      <c r="M25">
        <v>8.6020000000000003</v>
      </c>
      <c r="N25">
        <v>0</v>
      </c>
      <c r="O25">
        <v>0</v>
      </c>
      <c r="P25">
        <v>8.6017329999999994</v>
      </c>
      <c r="Q25">
        <v>0</v>
      </c>
      <c r="R25">
        <v>0</v>
      </c>
      <c r="S25" s="1">
        <f t="shared" si="0"/>
        <v>0.44832000000000005</v>
      </c>
      <c r="T25" s="2">
        <f t="shared" si="1"/>
        <v>44.832000000000008</v>
      </c>
    </row>
    <row r="26" spans="1:20" x14ac:dyDescent="0.2">
      <c r="A26" t="s">
        <v>45</v>
      </c>
      <c r="D26">
        <v>0</v>
      </c>
      <c r="E26">
        <v>8.4323490000000003</v>
      </c>
      <c r="L26" t="s">
        <v>45</v>
      </c>
      <c r="M26">
        <v>8.4320000000000004</v>
      </c>
      <c r="N26">
        <v>0</v>
      </c>
      <c r="O26">
        <v>0</v>
      </c>
      <c r="P26">
        <v>8.4323490000000003</v>
      </c>
      <c r="Q26">
        <v>0</v>
      </c>
      <c r="R26">
        <v>0</v>
      </c>
      <c r="S26" s="1">
        <f t="shared" si="0"/>
        <v>0.36400000000000005</v>
      </c>
      <c r="T26" s="2">
        <f t="shared" si="1"/>
        <v>36.400000000000006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X26"/>
  <sheetViews>
    <sheetView workbookViewId="0"/>
  </sheetViews>
  <sheetFormatPr baseColWidth="10" defaultColWidth="8.83203125" defaultRowHeight="15" x14ac:dyDescent="0.2"/>
  <sheetData>
    <row r="1" spans="1:24" x14ac:dyDescent="0.2">
      <c r="A1" t="s">
        <v>0</v>
      </c>
      <c r="D1" t="s">
        <v>1</v>
      </c>
      <c r="L1" t="s">
        <v>2</v>
      </c>
      <c r="R1" t="s">
        <v>3</v>
      </c>
      <c r="S1" s="1">
        <v>0.36399999999999988</v>
      </c>
      <c r="T1">
        <f>S1*V1</f>
        <v>36.399999999999991</v>
      </c>
      <c r="U1" t="s">
        <v>4</v>
      </c>
      <c r="V1">
        <v>100</v>
      </c>
      <c r="W1" t="s">
        <v>5</v>
      </c>
      <c r="X1" s="1">
        <v>0.1</v>
      </c>
    </row>
    <row r="2" spans="1:24" x14ac:dyDescent="0.2">
      <c r="A2" t="s">
        <v>6</v>
      </c>
      <c r="B2" t="s">
        <v>7</v>
      </c>
      <c r="C2" t="s">
        <v>8</v>
      </c>
      <c r="D2" t="s">
        <v>9</v>
      </c>
      <c r="E2" t="s">
        <v>10</v>
      </c>
      <c r="F2" t="s">
        <v>11</v>
      </c>
      <c r="G2" t="s">
        <v>12</v>
      </c>
      <c r="H2" t="s">
        <v>13</v>
      </c>
      <c r="I2" t="s">
        <v>14</v>
      </c>
      <c r="L2" t="s">
        <v>6</v>
      </c>
      <c r="M2" t="s">
        <v>7</v>
      </c>
      <c r="N2" t="s">
        <v>8</v>
      </c>
      <c r="O2" t="s">
        <v>9</v>
      </c>
      <c r="P2" t="s">
        <v>10</v>
      </c>
      <c r="Q2" t="s">
        <v>11</v>
      </c>
      <c r="R2" t="s">
        <v>12</v>
      </c>
      <c r="S2" t="s">
        <v>13</v>
      </c>
      <c r="T2" t="s">
        <v>14</v>
      </c>
      <c r="W2" t="s">
        <v>15</v>
      </c>
      <c r="X2" s="1">
        <v>1</v>
      </c>
    </row>
    <row r="3" spans="1:24" x14ac:dyDescent="0.2">
      <c r="A3" t="s">
        <v>46</v>
      </c>
      <c r="D3">
        <v>0</v>
      </c>
      <c r="E3">
        <v>7.7024502999999997</v>
      </c>
      <c r="L3" t="s">
        <v>46</v>
      </c>
      <c r="M3">
        <v>0</v>
      </c>
      <c r="N3">
        <v>0</v>
      </c>
      <c r="O3">
        <v>0</v>
      </c>
      <c r="P3">
        <v>7.7024502999999997</v>
      </c>
      <c r="Q3">
        <v>0</v>
      </c>
      <c r="R3">
        <v>7.7024502999999997</v>
      </c>
      <c r="S3" s="1">
        <f t="shared" ref="S3:S26" si="0">T3/V$1</f>
        <v>0.36399999999999993</v>
      </c>
      <c r="T3" s="2">
        <f>T1-M3+N3</f>
        <v>36.399999999999991</v>
      </c>
    </row>
    <row r="4" spans="1:24" x14ac:dyDescent="0.2">
      <c r="A4" t="s">
        <v>47</v>
      </c>
      <c r="D4">
        <v>0</v>
      </c>
      <c r="E4">
        <v>4.7957000000000001</v>
      </c>
      <c r="L4" t="s">
        <v>47</v>
      </c>
      <c r="M4">
        <v>4.7960000000000003</v>
      </c>
      <c r="N4">
        <v>0</v>
      </c>
      <c r="O4">
        <v>0</v>
      </c>
      <c r="P4">
        <v>4.7957000000000001</v>
      </c>
      <c r="Q4">
        <v>0</v>
      </c>
      <c r="R4">
        <v>0</v>
      </c>
      <c r="S4" s="1">
        <f t="shared" si="0"/>
        <v>0.31603999999999993</v>
      </c>
      <c r="T4" s="2">
        <f t="shared" ref="T4:T26" si="1">T3-M4+N4</f>
        <v>31.603999999999992</v>
      </c>
    </row>
    <row r="5" spans="1:24" x14ac:dyDescent="0.2">
      <c r="A5" t="s">
        <v>48</v>
      </c>
      <c r="D5">
        <v>0</v>
      </c>
      <c r="E5">
        <v>7.2049000000000003</v>
      </c>
      <c r="L5" t="s">
        <v>48</v>
      </c>
      <c r="M5">
        <v>7.2050000000000001</v>
      </c>
      <c r="N5">
        <v>0</v>
      </c>
      <c r="O5">
        <v>0</v>
      </c>
      <c r="P5">
        <v>7.2049000000000003</v>
      </c>
      <c r="Q5">
        <v>0</v>
      </c>
      <c r="R5">
        <v>0</v>
      </c>
      <c r="S5" s="1">
        <f t="shared" si="0"/>
        <v>0.24398999999999993</v>
      </c>
      <c r="T5" s="2">
        <f t="shared" si="1"/>
        <v>24.398999999999994</v>
      </c>
    </row>
    <row r="6" spans="1:24" x14ac:dyDescent="0.2">
      <c r="A6" t="s">
        <v>49</v>
      </c>
      <c r="D6">
        <v>0</v>
      </c>
      <c r="E6">
        <v>6.8354499999999998</v>
      </c>
      <c r="L6" t="s">
        <v>49</v>
      </c>
      <c r="M6">
        <v>1.53</v>
      </c>
      <c r="N6">
        <v>0</v>
      </c>
      <c r="O6">
        <v>0</v>
      </c>
      <c r="P6">
        <v>6.8354499999999998</v>
      </c>
      <c r="Q6">
        <v>0</v>
      </c>
      <c r="R6">
        <v>5.3054500000000004</v>
      </c>
      <c r="S6" s="1">
        <f t="shared" si="0"/>
        <v>0.22868999999999992</v>
      </c>
      <c r="T6" s="2">
        <f t="shared" si="1"/>
        <v>22.868999999999993</v>
      </c>
      <c r="V6" t="s">
        <v>20</v>
      </c>
      <c r="W6" t="s">
        <v>50</v>
      </c>
    </row>
    <row r="7" spans="1:24" x14ac:dyDescent="0.2">
      <c r="A7" t="s">
        <v>51</v>
      </c>
      <c r="D7">
        <v>0</v>
      </c>
      <c r="E7">
        <v>6.6309500000000003</v>
      </c>
      <c r="L7" t="s">
        <v>51</v>
      </c>
      <c r="M7">
        <v>6.6310000000000002</v>
      </c>
      <c r="N7">
        <v>0</v>
      </c>
      <c r="O7">
        <v>0</v>
      </c>
      <c r="P7">
        <v>6.6309500000000003</v>
      </c>
      <c r="Q7">
        <v>0</v>
      </c>
      <c r="R7">
        <v>0</v>
      </c>
      <c r="S7" s="1">
        <f t="shared" si="0"/>
        <v>0.16237999999999991</v>
      </c>
      <c r="T7" s="2">
        <f t="shared" si="1"/>
        <v>16.237999999999992</v>
      </c>
      <c r="V7" t="s">
        <v>23</v>
      </c>
      <c r="W7" t="s">
        <v>24</v>
      </c>
    </row>
    <row r="8" spans="1:24" x14ac:dyDescent="0.2">
      <c r="A8" t="s">
        <v>52</v>
      </c>
      <c r="D8">
        <v>0</v>
      </c>
      <c r="E8">
        <v>6.8632749999999998</v>
      </c>
      <c r="L8" t="s">
        <v>52</v>
      </c>
      <c r="M8">
        <v>0</v>
      </c>
      <c r="N8">
        <v>0</v>
      </c>
      <c r="O8">
        <v>0</v>
      </c>
      <c r="P8">
        <v>6.8632749999999998</v>
      </c>
      <c r="Q8">
        <v>0</v>
      </c>
      <c r="R8">
        <v>6.8632749999999998</v>
      </c>
      <c r="S8" s="1">
        <f t="shared" si="0"/>
        <v>0.16237999999999991</v>
      </c>
      <c r="T8" s="2">
        <f t="shared" si="1"/>
        <v>16.237999999999992</v>
      </c>
      <c r="V8" t="s">
        <v>26</v>
      </c>
      <c r="W8">
        <v>8.2000000000000003E-2</v>
      </c>
    </row>
    <row r="9" spans="1:24" x14ac:dyDescent="0.2">
      <c r="A9" t="s">
        <v>53</v>
      </c>
      <c r="D9">
        <v>0.58567420000000003</v>
      </c>
      <c r="E9">
        <v>6.8241500000000004</v>
      </c>
      <c r="L9" t="s">
        <v>53</v>
      </c>
      <c r="M9">
        <v>6.2380000000000004</v>
      </c>
      <c r="N9">
        <v>0</v>
      </c>
      <c r="O9">
        <v>0.58567420000000003</v>
      </c>
      <c r="P9">
        <v>6.8241500000000004</v>
      </c>
      <c r="Q9">
        <v>0</v>
      </c>
      <c r="R9">
        <v>0</v>
      </c>
      <c r="S9" s="1">
        <f t="shared" si="0"/>
        <v>9.9999999999999922E-2</v>
      </c>
      <c r="T9" s="2">
        <f t="shared" si="1"/>
        <v>9.9999999999999929</v>
      </c>
      <c r="V9" t="s">
        <v>28</v>
      </c>
      <c r="W9">
        <f>W8/60</f>
        <v>1.3666666666666666E-3</v>
      </c>
    </row>
    <row r="10" spans="1:24" x14ac:dyDescent="0.2">
      <c r="A10" t="s">
        <v>54</v>
      </c>
      <c r="D10">
        <v>4.9496000000000002</v>
      </c>
      <c r="E10">
        <v>6.79704</v>
      </c>
      <c r="L10" t="s">
        <v>54</v>
      </c>
      <c r="M10">
        <v>0</v>
      </c>
      <c r="N10">
        <v>0</v>
      </c>
      <c r="O10">
        <v>4.9496000000000002</v>
      </c>
      <c r="P10">
        <v>6.79704</v>
      </c>
      <c r="Q10">
        <v>0</v>
      </c>
      <c r="R10">
        <v>1.84744</v>
      </c>
      <c r="S10" s="1">
        <f t="shared" si="0"/>
        <v>9.9999999999999922E-2</v>
      </c>
      <c r="T10" s="2">
        <f t="shared" si="1"/>
        <v>9.9999999999999929</v>
      </c>
    </row>
    <row r="11" spans="1:24" x14ac:dyDescent="0.2">
      <c r="A11" t="s">
        <v>55</v>
      </c>
      <c r="D11">
        <v>16.385100000000001</v>
      </c>
      <c r="E11">
        <v>6.7957996999999999</v>
      </c>
      <c r="L11" t="s">
        <v>55</v>
      </c>
      <c r="M11">
        <v>0</v>
      </c>
      <c r="N11">
        <v>9.5890000000000004</v>
      </c>
      <c r="O11">
        <v>16.385100000000001</v>
      </c>
      <c r="P11">
        <v>6.7957996999999999</v>
      </c>
      <c r="Q11">
        <v>0</v>
      </c>
      <c r="R11">
        <v>0</v>
      </c>
      <c r="S11" s="1">
        <f t="shared" si="0"/>
        <v>0.19588999999999993</v>
      </c>
      <c r="T11" s="2">
        <f t="shared" si="1"/>
        <v>19.588999999999992</v>
      </c>
    </row>
    <row r="12" spans="1:24" x14ac:dyDescent="0.2">
      <c r="A12" t="s">
        <v>56</v>
      </c>
      <c r="D12">
        <v>27.304698999999999</v>
      </c>
      <c r="E12">
        <v>6.8315495999999998</v>
      </c>
      <c r="L12" t="s">
        <v>56</v>
      </c>
      <c r="M12">
        <v>0</v>
      </c>
      <c r="N12">
        <v>19.126000000000001</v>
      </c>
      <c r="O12">
        <v>27.304698999999999</v>
      </c>
      <c r="P12">
        <v>6.8315495999999998</v>
      </c>
      <c r="Q12">
        <v>1.3471493999999991</v>
      </c>
      <c r="R12">
        <v>0</v>
      </c>
      <c r="S12" s="1">
        <f t="shared" si="0"/>
        <v>0.38714999999999988</v>
      </c>
      <c r="T12" s="2">
        <f t="shared" si="1"/>
        <v>38.714999999999989</v>
      </c>
    </row>
    <row r="13" spans="1:24" x14ac:dyDescent="0.2">
      <c r="A13" t="s">
        <v>57</v>
      </c>
      <c r="D13">
        <v>35.334198000000001</v>
      </c>
      <c r="E13">
        <v>11.66405</v>
      </c>
      <c r="L13" t="s">
        <v>57</v>
      </c>
      <c r="M13">
        <v>0</v>
      </c>
      <c r="N13">
        <v>0</v>
      </c>
      <c r="O13">
        <v>35.334198000000001</v>
      </c>
      <c r="P13">
        <v>11.66405</v>
      </c>
      <c r="Q13">
        <v>23.670148000000001</v>
      </c>
      <c r="R13">
        <v>0</v>
      </c>
      <c r="S13" s="1">
        <f t="shared" si="0"/>
        <v>0.38714999999999988</v>
      </c>
      <c r="T13" s="2">
        <f t="shared" si="1"/>
        <v>38.714999999999989</v>
      </c>
    </row>
    <row r="14" spans="1:24" x14ac:dyDescent="0.2">
      <c r="A14" t="s">
        <v>58</v>
      </c>
      <c r="D14">
        <v>39.008823</v>
      </c>
      <c r="E14">
        <v>8.3236000000000008</v>
      </c>
      <c r="L14" t="s">
        <v>58</v>
      </c>
      <c r="M14">
        <v>0</v>
      </c>
      <c r="N14">
        <v>0</v>
      </c>
      <c r="O14">
        <v>39.008823</v>
      </c>
      <c r="P14">
        <v>8.3236000000000008</v>
      </c>
      <c r="Q14">
        <v>30.685223000000001</v>
      </c>
      <c r="R14">
        <v>0</v>
      </c>
      <c r="S14" s="1">
        <f t="shared" si="0"/>
        <v>0.38714999999999988</v>
      </c>
      <c r="T14" s="2">
        <f t="shared" si="1"/>
        <v>38.714999999999989</v>
      </c>
    </row>
    <row r="15" spans="1:24" x14ac:dyDescent="0.2">
      <c r="A15" t="s">
        <v>59</v>
      </c>
      <c r="D15">
        <v>40.769199999999998</v>
      </c>
      <c r="E15">
        <v>11.9152</v>
      </c>
      <c r="L15" t="s">
        <v>59</v>
      </c>
      <c r="M15">
        <v>0</v>
      </c>
      <c r="N15">
        <v>28.853999999999999</v>
      </c>
      <c r="O15">
        <v>40.769199999999998</v>
      </c>
      <c r="P15">
        <v>11.9152</v>
      </c>
      <c r="Q15">
        <v>0</v>
      </c>
      <c r="R15">
        <v>0</v>
      </c>
      <c r="S15" s="1">
        <f t="shared" si="0"/>
        <v>0.6756899999999999</v>
      </c>
      <c r="T15" s="2">
        <f t="shared" si="1"/>
        <v>67.568999999999988</v>
      </c>
    </row>
    <row r="16" spans="1:24" x14ac:dyDescent="0.2">
      <c r="A16" t="s">
        <v>60</v>
      </c>
      <c r="D16">
        <v>43.121074999999998</v>
      </c>
      <c r="E16">
        <v>11.935934</v>
      </c>
      <c r="L16" t="s">
        <v>60</v>
      </c>
      <c r="M16">
        <v>0</v>
      </c>
      <c r="N16">
        <v>0</v>
      </c>
      <c r="O16">
        <v>43.121074999999998</v>
      </c>
      <c r="P16">
        <v>11.935934</v>
      </c>
      <c r="Q16">
        <v>31.185141000000002</v>
      </c>
      <c r="R16">
        <v>0</v>
      </c>
      <c r="S16" s="1">
        <f t="shared" si="0"/>
        <v>0.6756899999999999</v>
      </c>
      <c r="T16" s="2">
        <f t="shared" si="1"/>
        <v>67.568999999999988</v>
      </c>
    </row>
    <row r="17" spans="1:20" x14ac:dyDescent="0.2">
      <c r="A17" t="s">
        <v>61</v>
      </c>
      <c r="D17">
        <v>42.676524999999998</v>
      </c>
      <c r="E17">
        <v>12.0168</v>
      </c>
      <c r="L17" t="s">
        <v>61</v>
      </c>
      <c r="M17">
        <v>0</v>
      </c>
      <c r="N17">
        <v>30.66</v>
      </c>
      <c r="O17">
        <v>42.676524999999998</v>
      </c>
      <c r="P17">
        <v>12.0168</v>
      </c>
      <c r="Q17">
        <v>0</v>
      </c>
      <c r="R17">
        <v>0</v>
      </c>
      <c r="S17" s="1">
        <f t="shared" si="0"/>
        <v>0.98228999999999989</v>
      </c>
      <c r="T17" s="2">
        <f t="shared" si="1"/>
        <v>98.228999999999985</v>
      </c>
    </row>
    <row r="18" spans="1:20" x14ac:dyDescent="0.2">
      <c r="A18" t="s">
        <v>62</v>
      </c>
      <c r="D18">
        <v>35.649875999999999</v>
      </c>
      <c r="E18">
        <v>12.116365999999999</v>
      </c>
      <c r="L18" t="s">
        <v>62</v>
      </c>
      <c r="M18">
        <v>0</v>
      </c>
      <c r="N18">
        <v>0</v>
      </c>
      <c r="O18">
        <v>35.649875999999999</v>
      </c>
      <c r="P18">
        <v>12.116365999999999</v>
      </c>
      <c r="Q18">
        <v>23.53351</v>
      </c>
      <c r="R18">
        <v>0</v>
      </c>
      <c r="S18" s="1">
        <f t="shared" si="0"/>
        <v>0.98228999999999989</v>
      </c>
      <c r="T18" s="2">
        <f t="shared" si="1"/>
        <v>98.228999999999985</v>
      </c>
    </row>
    <row r="19" spans="1:20" x14ac:dyDescent="0.2">
      <c r="A19" t="s">
        <v>63</v>
      </c>
      <c r="D19">
        <v>13.824901000000001</v>
      </c>
      <c r="E19">
        <v>12.05395</v>
      </c>
      <c r="L19" t="s">
        <v>63</v>
      </c>
      <c r="M19">
        <v>0</v>
      </c>
      <c r="N19">
        <v>1.7709999999999999</v>
      </c>
      <c r="O19">
        <v>13.824901000000001</v>
      </c>
      <c r="P19">
        <v>12.05395</v>
      </c>
      <c r="Q19">
        <v>0</v>
      </c>
      <c r="R19">
        <v>0</v>
      </c>
      <c r="S19" s="1">
        <f t="shared" si="0"/>
        <v>0.99999999999999989</v>
      </c>
      <c r="T19" s="2">
        <f t="shared" si="1"/>
        <v>99.999999999999986</v>
      </c>
    </row>
    <row r="20" spans="1:20" x14ac:dyDescent="0.2">
      <c r="A20" t="s">
        <v>64</v>
      </c>
      <c r="D20">
        <v>16.569974999999999</v>
      </c>
      <c r="E20">
        <v>6.8022003</v>
      </c>
      <c r="L20" t="s">
        <v>64</v>
      </c>
      <c r="M20">
        <v>0</v>
      </c>
      <c r="N20">
        <v>0</v>
      </c>
      <c r="O20">
        <v>16.569974999999999</v>
      </c>
      <c r="P20">
        <v>6.8022003</v>
      </c>
      <c r="Q20">
        <v>9.7677747000000004</v>
      </c>
      <c r="R20">
        <v>0</v>
      </c>
      <c r="S20" s="1">
        <f t="shared" si="0"/>
        <v>0.99999999999999989</v>
      </c>
      <c r="T20" s="2">
        <f t="shared" si="1"/>
        <v>99.999999999999986</v>
      </c>
    </row>
    <row r="21" spans="1:20" x14ac:dyDescent="0.2">
      <c r="A21" t="s">
        <v>65</v>
      </c>
      <c r="D21">
        <v>6.4856752999999996</v>
      </c>
      <c r="E21">
        <v>9.4064010000000007</v>
      </c>
      <c r="L21" t="s">
        <v>65</v>
      </c>
      <c r="M21">
        <v>2.9209999999999998</v>
      </c>
      <c r="N21">
        <v>0</v>
      </c>
      <c r="O21">
        <v>6.4856752999999996</v>
      </c>
      <c r="P21">
        <v>9.4064010000000007</v>
      </c>
      <c r="Q21">
        <v>0</v>
      </c>
      <c r="R21">
        <v>0</v>
      </c>
      <c r="S21" s="1">
        <f t="shared" si="0"/>
        <v>0.97078999999999982</v>
      </c>
      <c r="T21" s="2">
        <f t="shared" si="1"/>
        <v>97.078999999999979</v>
      </c>
    </row>
    <row r="22" spans="1:20" x14ac:dyDescent="0.2">
      <c r="A22" t="s">
        <v>66</v>
      </c>
      <c r="D22">
        <v>1.0762503999999999</v>
      </c>
      <c r="E22">
        <v>12.081099500000001</v>
      </c>
      <c r="L22" t="s">
        <v>66</v>
      </c>
      <c r="M22">
        <v>11.005000000000001</v>
      </c>
      <c r="N22">
        <v>0</v>
      </c>
      <c r="O22">
        <v>1.0762503999999999</v>
      </c>
      <c r="P22">
        <v>12.081099500000001</v>
      </c>
      <c r="Q22">
        <v>0</v>
      </c>
      <c r="R22">
        <v>0</v>
      </c>
      <c r="S22" s="1">
        <f t="shared" si="0"/>
        <v>0.86073999999999984</v>
      </c>
      <c r="T22" s="2">
        <f t="shared" si="1"/>
        <v>86.073999999999984</v>
      </c>
    </row>
    <row r="23" spans="1:20" x14ac:dyDescent="0.2">
      <c r="A23" t="s">
        <v>67</v>
      </c>
      <c r="D23">
        <v>0</v>
      </c>
      <c r="E23">
        <v>6.9057000000000004</v>
      </c>
      <c r="L23" t="s">
        <v>67</v>
      </c>
      <c r="M23">
        <v>6.9059999999999997</v>
      </c>
      <c r="N23">
        <v>0</v>
      </c>
      <c r="O23">
        <v>0</v>
      </c>
      <c r="P23">
        <v>6.9057000000000004</v>
      </c>
      <c r="Q23">
        <v>0</v>
      </c>
      <c r="R23">
        <v>0</v>
      </c>
      <c r="S23" s="1">
        <f t="shared" si="0"/>
        <v>0.79167999999999983</v>
      </c>
      <c r="T23" s="2">
        <f t="shared" si="1"/>
        <v>79.167999999999978</v>
      </c>
    </row>
    <row r="24" spans="1:20" x14ac:dyDescent="0.2">
      <c r="A24" t="s">
        <v>68</v>
      </c>
      <c r="D24">
        <v>0</v>
      </c>
      <c r="E24">
        <v>10.420033</v>
      </c>
      <c r="L24" t="s">
        <v>68</v>
      </c>
      <c r="M24">
        <v>10.42</v>
      </c>
      <c r="N24">
        <v>0</v>
      </c>
      <c r="O24">
        <v>0</v>
      </c>
      <c r="P24">
        <v>10.420033</v>
      </c>
      <c r="Q24">
        <v>0</v>
      </c>
      <c r="R24">
        <v>0</v>
      </c>
      <c r="S24" s="1">
        <f t="shared" si="0"/>
        <v>0.68747999999999976</v>
      </c>
      <c r="T24" s="2">
        <f t="shared" si="1"/>
        <v>68.747999999999976</v>
      </c>
    </row>
    <row r="25" spans="1:20" x14ac:dyDescent="0.2">
      <c r="A25" t="s">
        <v>69</v>
      </c>
      <c r="D25">
        <v>0</v>
      </c>
      <c r="E25">
        <v>11.075974</v>
      </c>
      <c r="L25" t="s">
        <v>69</v>
      </c>
      <c r="M25">
        <v>11.076000000000001</v>
      </c>
      <c r="N25">
        <v>0</v>
      </c>
      <c r="O25">
        <v>0</v>
      </c>
      <c r="P25">
        <v>11.075974</v>
      </c>
      <c r="Q25">
        <v>0</v>
      </c>
      <c r="R25">
        <v>0</v>
      </c>
      <c r="S25" s="1">
        <f t="shared" si="0"/>
        <v>0.57671999999999979</v>
      </c>
      <c r="T25" s="2">
        <f t="shared" si="1"/>
        <v>57.671999999999976</v>
      </c>
    </row>
    <row r="26" spans="1:20" x14ac:dyDescent="0.2">
      <c r="A26" t="s">
        <v>70</v>
      </c>
      <c r="D26">
        <v>0</v>
      </c>
      <c r="E26">
        <v>7.6921663000000002</v>
      </c>
      <c r="L26" t="s">
        <v>70</v>
      </c>
      <c r="M26">
        <v>7.6920000000000002</v>
      </c>
      <c r="N26">
        <v>0</v>
      </c>
      <c r="O26">
        <v>0</v>
      </c>
      <c r="P26">
        <v>7.6921663000000002</v>
      </c>
      <c r="Q26">
        <v>0</v>
      </c>
      <c r="R26">
        <v>0</v>
      </c>
      <c r="S26" s="1">
        <f t="shared" si="0"/>
        <v>0.49979999999999974</v>
      </c>
      <c r="T26" s="2">
        <f t="shared" si="1"/>
        <v>49.979999999999976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26"/>
  <sheetViews>
    <sheetView workbookViewId="0"/>
  </sheetViews>
  <sheetFormatPr baseColWidth="10" defaultColWidth="8.83203125" defaultRowHeight="15" x14ac:dyDescent="0.2"/>
  <sheetData>
    <row r="1" spans="1:24" x14ac:dyDescent="0.2">
      <c r="A1" t="s">
        <v>0</v>
      </c>
      <c r="D1" t="s">
        <v>1</v>
      </c>
      <c r="L1" t="s">
        <v>2</v>
      </c>
      <c r="R1" t="s">
        <v>3</v>
      </c>
      <c r="S1" s="1">
        <v>0.49979999999999969</v>
      </c>
      <c r="T1">
        <f>S1*V1</f>
        <v>49.979999999999968</v>
      </c>
      <c r="U1" t="s">
        <v>4</v>
      </c>
      <c r="V1">
        <v>100</v>
      </c>
      <c r="W1" t="s">
        <v>5</v>
      </c>
      <c r="X1" s="1">
        <v>0.1</v>
      </c>
    </row>
    <row r="2" spans="1:24" x14ac:dyDescent="0.2">
      <c r="A2" t="s">
        <v>6</v>
      </c>
      <c r="B2" t="s">
        <v>7</v>
      </c>
      <c r="C2" t="s">
        <v>8</v>
      </c>
      <c r="D2" t="s">
        <v>9</v>
      </c>
      <c r="E2" t="s">
        <v>10</v>
      </c>
      <c r="F2" t="s">
        <v>11</v>
      </c>
      <c r="G2" t="s">
        <v>12</v>
      </c>
      <c r="H2" t="s">
        <v>13</v>
      </c>
      <c r="I2" t="s">
        <v>14</v>
      </c>
      <c r="L2" t="s">
        <v>6</v>
      </c>
      <c r="M2" t="s">
        <v>7</v>
      </c>
      <c r="N2" t="s">
        <v>8</v>
      </c>
      <c r="O2" t="s">
        <v>9</v>
      </c>
      <c r="P2" t="s">
        <v>10</v>
      </c>
      <c r="Q2" t="s">
        <v>11</v>
      </c>
      <c r="R2" t="s">
        <v>12</v>
      </c>
      <c r="S2" t="s">
        <v>13</v>
      </c>
      <c r="T2" t="s">
        <v>14</v>
      </c>
      <c r="W2" t="s">
        <v>15</v>
      </c>
      <c r="X2" s="1">
        <v>1</v>
      </c>
    </row>
    <row r="3" spans="1:24" x14ac:dyDescent="0.2">
      <c r="A3" t="s">
        <v>71</v>
      </c>
      <c r="D3">
        <v>0</v>
      </c>
      <c r="E3">
        <v>7.8448000000000002</v>
      </c>
      <c r="L3" t="s">
        <v>71</v>
      </c>
      <c r="M3">
        <v>7.8449999999999998</v>
      </c>
      <c r="N3">
        <v>0</v>
      </c>
      <c r="O3">
        <v>0</v>
      </c>
      <c r="P3">
        <v>7.8448000000000002</v>
      </c>
      <c r="Q3">
        <v>0</v>
      </c>
      <c r="R3">
        <v>0</v>
      </c>
      <c r="S3" s="1">
        <f t="shared" ref="S3:S26" si="0">T3/V$1</f>
        <v>0.42134999999999967</v>
      </c>
      <c r="T3" s="2">
        <f>T1-M3+N3</f>
        <v>42.13499999999997</v>
      </c>
    </row>
    <row r="4" spans="1:24" x14ac:dyDescent="0.2">
      <c r="A4" t="s">
        <v>72</v>
      </c>
      <c r="D4">
        <v>0</v>
      </c>
      <c r="E4">
        <v>7.0748334000000002</v>
      </c>
      <c r="L4" t="s">
        <v>72</v>
      </c>
      <c r="M4">
        <v>7.0750000000000002</v>
      </c>
      <c r="N4">
        <v>0</v>
      </c>
      <c r="O4">
        <v>0</v>
      </c>
      <c r="P4">
        <v>7.0748334000000002</v>
      </c>
      <c r="Q4">
        <v>0</v>
      </c>
      <c r="R4">
        <v>0</v>
      </c>
      <c r="S4" s="1">
        <f t="shared" si="0"/>
        <v>0.35059999999999969</v>
      </c>
      <c r="T4" s="2">
        <f t="shared" ref="T4:T26" si="1">T3-M4+N4</f>
        <v>35.059999999999967</v>
      </c>
    </row>
    <row r="5" spans="1:24" x14ac:dyDescent="0.2">
      <c r="A5" t="s">
        <v>73</v>
      </c>
      <c r="D5">
        <v>0</v>
      </c>
      <c r="E5">
        <v>5.9553500000000001</v>
      </c>
      <c r="L5" t="s">
        <v>73</v>
      </c>
      <c r="M5">
        <v>5.9550000000000001</v>
      </c>
      <c r="N5">
        <v>0</v>
      </c>
      <c r="O5">
        <v>0</v>
      </c>
      <c r="P5">
        <v>5.9553500000000001</v>
      </c>
      <c r="Q5">
        <v>0</v>
      </c>
      <c r="R5">
        <v>0</v>
      </c>
      <c r="S5" s="1">
        <f t="shared" si="0"/>
        <v>0.2910499999999997</v>
      </c>
      <c r="T5" s="2">
        <f t="shared" si="1"/>
        <v>29.104999999999968</v>
      </c>
    </row>
    <row r="6" spans="1:24" x14ac:dyDescent="0.2">
      <c r="A6" t="s">
        <v>74</v>
      </c>
      <c r="D6">
        <v>0</v>
      </c>
      <c r="E6">
        <v>6.3007999999999997</v>
      </c>
      <c r="L6" t="s">
        <v>74</v>
      </c>
      <c r="M6">
        <v>5.35</v>
      </c>
      <c r="N6">
        <v>0</v>
      </c>
      <c r="O6">
        <v>0</v>
      </c>
      <c r="P6">
        <v>6.3007999999999997</v>
      </c>
      <c r="Q6">
        <v>0</v>
      </c>
      <c r="R6">
        <v>0.95080000000000009</v>
      </c>
      <c r="S6" s="1">
        <f t="shared" si="0"/>
        <v>0.23754999999999968</v>
      </c>
      <c r="T6" s="2">
        <f t="shared" si="1"/>
        <v>23.754999999999967</v>
      </c>
      <c r="V6" t="s">
        <v>20</v>
      </c>
      <c r="W6" t="s">
        <v>75</v>
      </c>
    </row>
    <row r="7" spans="1:24" x14ac:dyDescent="0.2">
      <c r="A7" t="s">
        <v>76</v>
      </c>
      <c r="D7">
        <v>0</v>
      </c>
      <c r="E7">
        <v>6.7171497000000002</v>
      </c>
      <c r="L7" t="s">
        <v>76</v>
      </c>
      <c r="M7">
        <v>0</v>
      </c>
      <c r="N7">
        <v>0</v>
      </c>
      <c r="O7">
        <v>0</v>
      </c>
      <c r="P7">
        <v>6.7171497000000002</v>
      </c>
      <c r="Q7">
        <v>0</v>
      </c>
      <c r="R7">
        <v>6.7171497000000002</v>
      </c>
      <c r="S7" s="1">
        <f t="shared" si="0"/>
        <v>0.23754999999999968</v>
      </c>
      <c r="T7" s="2">
        <f t="shared" si="1"/>
        <v>23.754999999999967</v>
      </c>
      <c r="V7" t="s">
        <v>23</v>
      </c>
      <c r="W7" t="s">
        <v>24</v>
      </c>
    </row>
    <row r="8" spans="1:24" x14ac:dyDescent="0.2">
      <c r="A8" t="s">
        <v>77</v>
      </c>
      <c r="D8">
        <v>0</v>
      </c>
      <c r="E8">
        <v>7.0147995999999999</v>
      </c>
      <c r="L8" t="s">
        <v>77</v>
      </c>
      <c r="M8">
        <v>7.0149999999999997</v>
      </c>
      <c r="N8">
        <v>0</v>
      </c>
      <c r="O8">
        <v>0</v>
      </c>
      <c r="P8">
        <v>7.0147995999999999</v>
      </c>
      <c r="Q8">
        <v>0</v>
      </c>
      <c r="R8">
        <v>0</v>
      </c>
      <c r="S8" s="1">
        <f t="shared" si="0"/>
        <v>0.16739999999999966</v>
      </c>
      <c r="T8" s="2">
        <f t="shared" si="1"/>
        <v>16.739999999999966</v>
      </c>
      <c r="V8" t="s">
        <v>26</v>
      </c>
      <c r="W8">
        <v>8.2000000000000003E-2</v>
      </c>
    </row>
    <row r="9" spans="1:24" x14ac:dyDescent="0.2">
      <c r="A9" t="s">
        <v>78</v>
      </c>
      <c r="D9">
        <v>0.17105024999999999</v>
      </c>
      <c r="E9">
        <v>6.9109670000000003</v>
      </c>
      <c r="L9" t="s">
        <v>78</v>
      </c>
      <c r="M9">
        <v>6.74</v>
      </c>
      <c r="N9">
        <v>0</v>
      </c>
      <c r="O9">
        <v>0.17105024999999999</v>
      </c>
      <c r="P9">
        <v>6.9109670000000003</v>
      </c>
      <c r="Q9">
        <v>0</v>
      </c>
      <c r="R9">
        <v>0</v>
      </c>
      <c r="S9" s="1">
        <f t="shared" si="0"/>
        <v>9.9999999999999659E-2</v>
      </c>
      <c r="T9" s="2">
        <f t="shared" si="1"/>
        <v>9.9999999999999662</v>
      </c>
      <c r="V9" t="s">
        <v>28</v>
      </c>
      <c r="W9">
        <f>W8/60</f>
        <v>1.3666666666666666E-3</v>
      </c>
    </row>
    <row r="10" spans="1:24" x14ac:dyDescent="0.2">
      <c r="A10" t="s">
        <v>79</v>
      </c>
      <c r="D10">
        <v>4.6651753999999999</v>
      </c>
      <c r="E10">
        <v>6.8071330000000003</v>
      </c>
      <c r="L10" t="s">
        <v>79</v>
      </c>
      <c r="M10">
        <v>0</v>
      </c>
      <c r="N10">
        <v>0</v>
      </c>
      <c r="O10">
        <v>4.6651753999999999</v>
      </c>
      <c r="P10">
        <v>6.8071330000000003</v>
      </c>
      <c r="Q10">
        <v>0</v>
      </c>
      <c r="R10">
        <v>2.1419576</v>
      </c>
      <c r="S10" s="1">
        <f t="shared" si="0"/>
        <v>9.9999999999999659E-2</v>
      </c>
      <c r="T10" s="2">
        <f t="shared" si="1"/>
        <v>9.9999999999999662</v>
      </c>
    </row>
    <row r="11" spans="1:24" x14ac:dyDescent="0.2">
      <c r="A11" t="s">
        <v>80</v>
      </c>
      <c r="D11">
        <v>16.073550000000001</v>
      </c>
      <c r="E11">
        <v>5.4816330000000004</v>
      </c>
      <c r="L11" t="s">
        <v>80</v>
      </c>
      <c r="M11">
        <v>0</v>
      </c>
      <c r="N11">
        <v>10.592000000000001</v>
      </c>
      <c r="O11">
        <v>16.073550000000001</v>
      </c>
      <c r="P11">
        <v>5.4816330000000004</v>
      </c>
      <c r="Q11">
        <v>0</v>
      </c>
      <c r="R11">
        <v>0</v>
      </c>
      <c r="S11" s="1">
        <f t="shared" si="0"/>
        <v>0.20591999999999966</v>
      </c>
      <c r="T11" s="2">
        <f t="shared" si="1"/>
        <v>20.591999999999967</v>
      </c>
    </row>
    <row r="12" spans="1:24" x14ac:dyDescent="0.2">
      <c r="A12" t="s">
        <v>81</v>
      </c>
      <c r="D12">
        <v>27.797499999999999</v>
      </c>
      <c r="E12">
        <v>7.0382004</v>
      </c>
      <c r="L12" t="s">
        <v>81</v>
      </c>
      <c r="M12">
        <v>0</v>
      </c>
      <c r="N12">
        <v>20.759</v>
      </c>
      <c r="O12">
        <v>27.797499999999999</v>
      </c>
      <c r="P12">
        <v>7.0382004</v>
      </c>
      <c r="Q12">
        <v>0</v>
      </c>
      <c r="R12">
        <v>0</v>
      </c>
      <c r="S12" s="1">
        <f t="shared" si="0"/>
        <v>0.41350999999999971</v>
      </c>
      <c r="T12" s="2">
        <f t="shared" si="1"/>
        <v>41.350999999999971</v>
      </c>
    </row>
    <row r="13" spans="1:24" x14ac:dyDescent="0.2">
      <c r="A13" t="s">
        <v>82</v>
      </c>
      <c r="D13">
        <v>35.689022000000001</v>
      </c>
      <c r="E13">
        <v>6.8214600000000001</v>
      </c>
      <c r="L13" t="s">
        <v>82</v>
      </c>
      <c r="M13">
        <v>0</v>
      </c>
      <c r="N13">
        <v>28.867999999999999</v>
      </c>
      <c r="O13">
        <v>35.689022000000001</v>
      </c>
      <c r="P13">
        <v>6.8214600000000001</v>
      </c>
      <c r="Q13">
        <v>0</v>
      </c>
      <c r="R13">
        <v>0</v>
      </c>
      <c r="S13" s="1">
        <f t="shared" si="0"/>
        <v>0.70218999999999965</v>
      </c>
      <c r="T13" s="2">
        <f t="shared" si="1"/>
        <v>70.218999999999966</v>
      </c>
    </row>
    <row r="14" spans="1:24" x14ac:dyDescent="0.2">
      <c r="A14" t="s">
        <v>83</v>
      </c>
      <c r="D14">
        <v>39.852226000000002</v>
      </c>
      <c r="E14">
        <v>9.2827999999999999</v>
      </c>
      <c r="L14" t="s">
        <v>83</v>
      </c>
      <c r="M14">
        <v>0</v>
      </c>
      <c r="N14">
        <v>8.7050000000000001</v>
      </c>
      <c r="O14">
        <v>39.852226000000002</v>
      </c>
      <c r="P14">
        <v>9.2827999999999999</v>
      </c>
      <c r="Q14">
        <v>21.864426000000002</v>
      </c>
      <c r="R14">
        <v>0</v>
      </c>
      <c r="S14" s="1">
        <f t="shared" si="0"/>
        <v>0.78923999999999961</v>
      </c>
      <c r="T14" s="2">
        <f t="shared" si="1"/>
        <v>78.923999999999964</v>
      </c>
    </row>
    <row r="15" spans="1:24" x14ac:dyDescent="0.2">
      <c r="A15" t="s">
        <v>84</v>
      </c>
      <c r="D15">
        <v>31.727550000000001</v>
      </c>
      <c r="E15">
        <v>11.9247</v>
      </c>
      <c r="L15" t="s">
        <v>84</v>
      </c>
      <c r="M15">
        <v>0</v>
      </c>
      <c r="N15">
        <v>0</v>
      </c>
      <c r="O15">
        <v>31.727550000000001</v>
      </c>
      <c r="P15">
        <v>11.9247</v>
      </c>
      <c r="Q15">
        <v>19.802849999999999</v>
      </c>
      <c r="R15">
        <v>0</v>
      </c>
      <c r="S15" s="1">
        <f t="shared" si="0"/>
        <v>0.78923999999999961</v>
      </c>
      <c r="T15" s="2">
        <f t="shared" si="1"/>
        <v>78.923999999999964</v>
      </c>
    </row>
    <row r="16" spans="1:24" x14ac:dyDescent="0.2">
      <c r="A16" t="s">
        <v>85</v>
      </c>
      <c r="D16">
        <v>32.196125000000002</v>
      </c>
      <c r="E16">
        <v>11.969333000000001</v>
      </c>
      <c r="L16" t="s">
        <v>85</v>
      </c>
      <c r="M16">
        <v>0</v>
      </c>
      <c r="N16">
        <v>0</v>
      </c>
      <c r="O16">
        <v>32.196125000000002</v>
      </c>
      <c r="P16">
        <v>11.969333000000001</v>
      </c>
      <c r="Q16">
        <v>20.226792</v>
      </c>
      <c r="R16">
        <v>0</v>
      </c>
      <c r="S16" s="1">
        <f t="shared" si="0"/>
        <v>0.78923999999999961</v>
      </c>
      <c r="T16" s="2">
        <f t="shared" si="1"/>
        <v>78.923999999999964</v>
      </c>
    </row>
    <row r="17" spans="1:20" x14ac:dyDescent="0.2">
      <c r="A17" t="s">
        <v>86</v>
      </c>
      <c r="D17">
        <v>30.242075</v>
      </c>
      <c r="E17">
        <v>12.38575</v>
      </c>
      <c r="L17" t="s">
        <v>86</v>
      </c>
      <c r="M17">
        <v>0</v>
      </c>
      <c r="N17">
        <v>17.856000000000002</v>
      </c>
      <c r="O17">
        <v>30.242075</v>
      </c>
      <c r="P17">
        <v>12.38575</v>
      </c>
      <c r="Q17">
        <v>0</v>
      </c>
      <c r="R17">
        <v>0</v>
      </c>
      <c r="S17" s="1">
        <f t="shared" si="0"/>
        <v>0.96779999999999977</v>
      </c>
      <c r="T17" s="2">
        <f t="shared" si="1"/>
        <v>96.779999999999973</v>
      </c>
    </row>
    <row r="18" spans="1:20" x14ac:dyDescent="0.2">
      <c r="A18" t="s">
        <v>87</v>
      </c>
      <c r="D18">
        <v>21.802800999999999</v>
      </c>
      <c r="E18">
        <v>12.031150999999999</v>
      </c>
      <c r="L18" t="s">
        <v>87</v>
      </c>
      <c r="M18">
        <v>0</v>
      </c>
      <c r="N18">
        <v>0</v>
      </c>
      <c r="O18">
        <v>21.802800999999999</v>
      </c>
      <c r="P18">
        <v>12.031150999999999</v>
      </c>
      <c r="Q18">
        <v>9.7716499999999993</v>
      </c>
      <c r="R18">
        <v>0</v>
      </c>
      <c r="S18" s="1">
        <f t="shared" si="0"/>
        <v>0.96779999999999977</v>
      </c>
      <c r="T18" s="2">
        <f t="shared" si="1"/>
        <v>96.779999999999973</v>
      </c>
    </row>
    <row r="19" spans="1:20" x14ac:dyDescent="0.2">
      <c r="A19" t="s">
        <v>88</v>
      </c>
      <c r="D19">
        <v>15.244624999999999</v>
      </c>
      <c r="E19">
        <v>12.02425</v>
      </c>
      <c r="L19" t="s">
        <v>88</v>
      </c>
      <c r="M19">
        <v>0</v>
      </c>
      <c r="N19">
        <v>3.22</v>
      </c>
      <c r="O19">
        <v>15.244624999999999</v>
      </c>
      <c r="P19">
        <v>12.02425</v>
      </c>
      <c r="Q19">
        <v>0</v>
      </c>
      <c r="R19">
        <v>0</v>
      </c>
      <c r="S19" s="1">
        <f t="shared" si="0"/>
        <v>0.99999999999999967</v>
      </c>
      <c r="T19" s="2">
        <f t="shared" si="1"/>
        <v>99.999999999999972</v>
      </c>
    </row>
    <row r="20" spans="1:20" x14ac:dyDescent="0.2">
      <c r="A20" t="s">
        <v>89</v>
      </c>
      <c r="D20">
        <v>14.10675</v>
      </c>
      <c r="E20">
        <v>11.9193</v>
      </c>
      <c r="L20" t="s">
        <v>89</v>
      </c>
      <c r="M20">
        <v>0</v>
      </c>
      <c r="N20">
        <v>0</v>
      </c>
      <c r="O20">
        <v>14.10675</v>
      </c>
      <c r="P20">
        <v>11.9193</v>
      </c>
      <c r="Q20">
        <v>2.1874500000000001</v>
      </c>
      <c r="R20">
        <v>0</v>
      </c>
      <c r="S20" s="1">
        <f t="shared" si="0"/>
        <v>0.99999999999999967</v>
      </c>
      <c r="T20" s="2">
        <f t="shared" si="1"/>
        <v>99.999999999999972</v>
      </c>
    </row>
    <row r="21" spans="1:20" x14ac:dyDescent="0.2">
      <c r="A21" t="s">
        <v>90</v>
      </c>
      <c r="D21">
        <v>5.0778499999999998</v>
      </c>
      <c r="E21">
        <v>12.113975</v>
      </c>
      <c r="L21" t="s">
        <v>90</v>
      </c>
      <c r="M21">
        <v>7.0359999999999996</v>
      </c>
      <c r="N21">
        <v>0</v>
      </c>
      <c r="O21">
        <v>5.0778499999999998</v>
      </c>
      <c r="P21">
        <v>12.113975</v>
      </c>
      <c r="Q21">
        <v>0</v>
      </c>
      <c r="R21">
        <v>0</v>
      </c>
      <c r="S21" s="1">
        <f t="shared" si="0"/>
        <v>0.92963999999999969</v>
      </c>
      <c r="T21" s="2">
        <f t="shared" si="1"/>
        <v>92.96399999999997</v>
      </c>
    </row>
    <row r="22" spans="1:20" x14ac:dyDescent="0.2">
      <c r="A22" t="s">
        <v>91</v>
      </c>
      <c r="D22">
        <v>0.39322507000000001</v>
      </c>
      <c r="E22">
        <v>12.11225</v>
      </c>
      <c r="L22" t="s">
        <v>91</v>
      </c>
      <c r="M22">
        <v>11.718999999999999</v>
      </c>
      <c r="N22">
        <v>0</v>
      </c>
      <c r="O22">
        <v>0.39322507000000001</v>
      </c>
      <c r="P22">
        <v>12.11225</v>
      </c>
      <c r="Q22">
        <v>0</v>
      </c>
      <c r="R22">
        <v>0</v>
      </c>
      <c r="S22" s="1">
        <f t="shared" si="0"/>
        <v>0.81244999999999978</v>
      </c>
      <c r="T22" s="2">
        <f t="shared" si="1"/>
        <v>81.244999999999976</v>
      </c>
    </row>
    <row r="23" spans="1:20" x14ac:dyDescent="0.2">
      <c r="A23" t="s">
        <v>92</v>
      </c>
      <c r="D23">
        <v>0</v>
      </c>
      <c r="E23">
        <v>11.758201</v>
      </c>
      <c r="L23" t="s">
        <v>92</v>
      </c>
      <c r="M23">
        <v>11.757999999999999</v>
      </c>
      <c r="N23">
        <v>0</v>
      </c>
      <c r="O23">
        <v>0</v>
      </c>
      <c r="P23">
        <v>11.758201</v>
      </c>
      <c r="Q23">
        <v>0</v>
      </c>
      <c r="R23">
        <v>0</v>
      </c>
      <c r="S23" s="1">
        <f t="shared" si="0"/>
        <v>0.69486999999999977</v>
      </c>
      <c r="T23" s="2">
        <f t="shared" si="1"/>
        <v>69.486999999999981</v>
      </c>
    </row>
    <row r="24" spans="1:20" x14ac:dyDescent="0.2">
      <c r="A24" t="s">
        <v>93</v>
      </c>
      <c r="D24">
        <v>0</v>
      </c>
      <c r="E24">
        <v>12.205349999999999</v>
      </c>
      <c r="L24" t="s">
        <v>93</v>
      </c>
      <c r="M24">
        <v>12.205</v>
      </c>
      <c r="N24">
        <v>0</v>
      </c>
      <c r="O24">
        <v>0</v>
      </c>
      <c r="P24">
        <v>12.205349999999999</v>
      </c>
      <c r="Q24">
        <v>0</v>
      </c>
      <c r="R24">
        <v>0</v>
      </c>
      <c r="S24" s="1">
        <f t="shared" si="0"/>
        <v>0.57281999999999977</v>
      </c>
      <c r="T24" s="2">
        <f t="shared" si="1"/>
        <v>57.281999999999982</v>
      </c>
    </row>
    <row r="25" spans="1:20" x14ac:dyDescent="0.2">
      <c r="A25" t="s">
        <v>94</v>
      </c>
      <c r="D25">
        <v>0</v>
      </c>
      <c r="E25">
        <v>6.7757997999999997</v>
      </c>
      <c r="L25" t="s">
        <v>94</v>
      </c>
      <c r="M25">
        <v>6.7759999999999998</v>
      </c>
      <c r="N25">
        <v>0</v>
      </c>
      <c r="O25">
        <v>0</v>
      </c>
      <c r="P25">
        <v>6.7757997999999997</v>
      </c>
      <c r="Q25">
        <v>0</v>
      </c>
      <c r="R25">
        <v>0</v>
      </c>
      <c r="S25" s="1">
        <f t="shared" si="0"/>
        <v>0.50505999999999984</v>
      </c>
      <c r="T25" s="2">
        <f t="shared" si="1"/>
        <v>50.505999999999986</v>
      </c>
    </row>
    <row r="26" spans="1:20" x14ac:dyDescent="0.2">
      <c r="A26" t="s">
        <v>95</v>
      </c>
      <c r="D26">
        <v>0</v>
      </c>
      <c r="E26">
        <v>8.4917499999999997</v>
      </c>
      <c r="L26" t="s">
        <v>95</v>
      </c>
      <c r="M26">
        <v>8.4920000000000009</v>
      </c>
      <c r="N26">
        <v>0</v>
      </c>
      <c r="O26">
        <v>0</v>
      </c>
      <c r="P26">
        <v>8.4917499999999997</v>
      </c>
      <c r="Q26">
        <v>0</v>
      </c>
      <c r="R26">
        <v>0</v>
      </c>
      <c r="S26" s="1">
        <f t="shared" si="0"/>
        <v>0.42013999999999979</v>
      </c>
      <c r="T26" s="2">
        <f t="shared" si="1"/>
        <v>42.013999999999982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X26"/>
  <sheetViews>
    <sheetView workbookViewId="0"/>
  </sheetViews>
  <sheetFormatPr baseColWidth="10" defaultColWidth="8.83203125" defaultRowHeight="15" x14ac:dyDescent="0.2"/>
  <sheetData>
    <row r="1" spans="1:24" x14ac:dyDescent="0.2">
      <c r="A1" t="s">
        <v>0</v>
      </c>
      <c r="D1" t="s">
        <v>1</v>
      </c>
      <c r="L1" t="s">
        <v>2</v>
      </c>
      <c r="R1" t="s">
        <v>3</v>
      </c>
      <c r="S1" s="1">
        <v>0.42013999999999979</v>
      </c>
      <c r="T1">
        <f>S1*V1</f>
        <v>42.013999999999982</v>
      </c>
      <c r="U1" t="s">
        <v>4</v>
      </c>
      <c r="V1">
        <v>100</v>
      </c>
      <c r="W1" t="s">
        <v>5</v>
      </c>
      <c r="X1" s="1">
        <v>0.1</v>
      </c>
    </row>
    <row r="2" spans="1:24" x14ac:dyDescent="0.2">
      <c r="A2" t="s">
        <v>6</v>
      </c>
      <c r="B2" t="s">
        <v>7</v>
      </c>
      <c r="C2" t="s">
        <v>8</v>
      </c>
      <c r="D2" t="s">
        <v>9</v>
      </c>
      <c r="E2" t="s">
        <v>10</v>
      </c>
      <c r="F2" t="s">
        <v>11</v>
      </c>
      <c r="G2" t="s">
        <v>12</v>
      </c>
      <c r="H2" t="s">
        <v>13</v>
      </c>
      <c r="I2" t="s">
        <v>14</v>
      </c>
      <c r="L2" t="s">
        <v>6</v>
      </c>
      <c r="M2" t="s">
        <v>7</v>
      </c>
      <c r="N2" t="s">
        <v>8</v>
      </c>
      <c r="O2" t="s">
        <v>9</v>
      </c>
      <c r="P2" t="s">
        <v>10</v>
      </c>
      <c r="Q2" t="s">
        <v>11</v>
      </c>
      <c r="R2" t="s">
        <v>12</v>
      </c>
      <c r="S2" t="s">
        <v>13</v>
      </c>
      <c r="T2" t="s">
        <v>14</v>
      </c>
      <c r="W2" t="s">
        <v>15</v>
      </c>
      <c r="X2" s="1">
        <v>1</v>
      </c>
    </row>
    <row r="3" spans="1:24" x14ac:dyDescent="0.2">
      <c r="A3" t="s">
        <v>96</v>
      </c>
      <c r="D3">
        <v>0</v>
      </c>
      <c r="E3">
        <v>7.8909000000000002</v>
      </c>
      <c r="L3" t="s">
        <v>96</v>
      </c>
      <c r="M3">
        <v>7.891</v>
      </c>
      <c r="N3">
        <v>0</v>
      </c>
      <c r="O3">
        <v>0</v>
      </c>
      <c r="P3">
        <v>7.8909000000000002</v>
      </c>
      <c r="Q3">
        <v>0</v>
      </c>
      <c r="R3">
        <v>0</v>
      </c>
      <c r="S3" s="1">
        <f t="shared" ref="S3:S26" si="0">T3/V$1</f>
        <v>0.34122999999999981</v>
      </c>
      <c r="T3" s="2">
        <f>T1-M3+N3</f>
        <v>34.122999999999983</v>
      </c>
    </row>
    <row r="4" spans="1:24" x14ac:dyDescent="0.2">
      <c r="A4" t="s">
        <v>97</v>
      </c>
      <c r="D4">
        <v>0</v>
      </c>
      <c r="E4">
        <v>5.5418672999999998</v>
      </c>
      <c r="L4" t="s">
        <v>97</v>
      </c>
      <c r="M4">
        <v>5.5419999999999998</v>
      </c>
      <c r="N4">
        <v>0</v>
      </c>
      <c r="O4">
        <v>0</v>
      </c>
      <c r="P4">
        <v>5.5418672999999998</v>
      </c>
      <c r="Q4">
        <v>0</v>
      </c>
      <c r="R4">
        <v>0</v>
      </c>
      <c r="S4" s="1">
        <f t="shared" si="0"/>
        <v>0.28580999999999984</v>
      </c>
      <c r="T4" s="2">
        <f t="shared" ref="T4:T26" si="1">T3-M4+N4</f>
        <v>28.580999999999982</v>
      </c>
    </row>
    <row r="5" spans="1:24" x14ac:dyDescent="0.2">
      <c r="A5" t="s">
        <v>98</v>
      </c>
      <c r="D5">
        <v>0</v>
      </c>
      <c r="E5">
        <v>6.9480500000000003</v>
      </c>
      <c r="L5" t="s">
        <v>98</v>
      </c>
      <c r="M5">
        <v>6.9480000000000004</v>
      </c>
      <c r="N5">
        <v>0</v>
      </c>
      <c r="O5">
        <v>0</v>
      </c>
      <c r="P5">
        <v>6.9480500000000003</v>
      </c>
      <c r="Q5">
        <v>0</v>
      </c>
      <c r="R5">
        <v>0</v>
      </c>
      <c r="S5" s="1">
        <f t="shared" si="0"/>
        <v>0.2163299999999998</v>
      </c>
      <c r="T5" s="2">
        <f t="shared" si="1"/>
        <v>21.632999999999981</v>
      </c>
    </row>
    <row r="6" spans="1:24" x14ac:dyDescent="0.2">
      <c r="A6" t="s">
        <v>99</v>
      </c>
      <c r="D6">
        <v>0</v>
      </c>
      <c r="E6">
        <v>6.9262003999999999</v>
      </c>
      <c r="L6" t="s">
        <v>99</v>
      </c>
      <c r="M6">
        <v>4.1749999999999998</v>
      </c>
      <c r="N6">
        <v>0</v>
      </c>
      <c r="O6">
        <v>0</v>
      </c>
      <c r="P6">
        <v>6.9262003999999999</v>
      </c>
      <c r="Q6">
        <v>0</v>
      </c>
      <c r="R6">
        <v>2.7512004000000001</v>
      </c>
      <c r="S6" s="1">
        <f t="shared" si="0"/>
        <v>0.17457999999999982</v>
      </c>
      <c r="T6" s="2">
        <f t="shared" si="1"/>
        <v>17.457999999999981</v>
      </c>
      <c r="V6" t="s">
        <v>20</v>
      </c>
      <c r="W6" t="s">
        <v>100</v>
      </c>
    </row>
    <row r="7" spans="1:24" x14ac:dyDescent="0.2">
      <c r="A7" t="s">
        <v>101</v>
      </c>
      <c r="D7">
        <v>0</v>
      </c>
      <c r="E7">
        <v>5.7041000000000004</v>
      </c>
      <c r="L7" t="s">
        <v>101</v>
      </c>
      <c r="M7">
        <v>0</v>
      </c>
      <c r="N7">
        <v>0</v>
      </c>
      <c r="O7">
        <v>0</v>
      </c>
      <c r="P7">
        <v>5.7041000000000004</v>
      </c>
      <c r="Q7">
        <v>0</v>
      </c>
      <c r="R7">
        <v>5.7041000000000004</v>
      </c>
      <c r="S7" s="1">
        <f t="shared" si="0"/>
        <v>0.17457999999999982</v>
      </c>
      <c r="T7" s="2">
        <f t="shared" si="1"/>
        <v>17.457999999999981</v>
      </c>
      <c r="V7" t="s">
        <v>23</v>
      </c>
      <c r="W7" t="s">
        <v>24</v>
      </c>
    </row>
    <row r="8" spans="1:24" x14ac:dyDescent="0.2">
      <c r="A8" t="s">
        <v>102</v>
      </c>
      <c r="D8">
        <v>0</v>
      </c>
      <c r="E8">
        <v>6.4653996999999999</v>
      </c>
      <c r="L8" t="s">
        <v>102</v>
      </c>
      <c r="M8">
        <v>6.4649999999999999</v>
      </c>
      <c r="N8">
        <v>0</v>
      </c>
      <c r="O8">
        <v>0</v>
      </c>
      <c r="P8">
        <v>6.4653996999999999</v>
      </c>
      <c r="Q8">
        <v>0</v>
      </c>
      <c r="R8">
        <v>0</v>
      </c>
      <c r="S8" s="1">
        <f t="shared" si="0"/>
        <v>0.10992999999999981</v>
      </c>
      <c r="T8" s="2">
        <f t="shared" si="1"/>
        <v>10.992999999999981</v>
      </c>
      <c r="V8" t="s">
        <v>26</v>
      </c>
      <c r="W8">
        <v>8.2000000000000003E-2</v>
      </c>
    </row>
    <row r="9" spans="1:24" x14ac:dyDescent="0.2">
      <c r="A9" t="s">
        <v>103</v>
      </c>
      <c r="D9">
        <v>0.12914888999999999</v>
      </c>
      <c r="E9">
        <v>6.6102249999999998</v>
      </c>
      <c r="L9" t="s">
        <v>103</v>
      </c>
      <c r="M9">
        <v>0</v>
      </c>
      <c r="N9">
        <v>0</v>
      </c>
      <c r="O9">
        <v>0.12914888999999999</v>
      </c>
      <c r="P9">
        <v>6.6102249999999998</v>
      </c>
      <c r="Q9">
        <v>0</v>
      </c>
      <c r="R9">
        <v>6.4810761100000001</v>
      </c>
      <c r="S9" s="1">
        <f t="shared" si="0"/>
        <v>0.10992999999999981</v>
      </c>
      <c r="T9" s="2">
        <f t="shared" si="1"/>
        <v>10.992999999999981</v>
      </c>
      <c r="V9" t="s">
        <v>28</v>
      </c>
      <c r="W9">
        <f>W8/60</f>
        <v>1.3666666666666666E-3</v>
      </c>
    </row>
    <row r="10" spans="1:24" x14ac:dyDescent="0.2">
      <c r="A10" t="s">
        <v>104</v>
      </c>
      <c r="D10">
        <v>3.8874496999999999</v>
      </c>
      <c r="E10">
        <v>4.8802995999999998</v>
      </c>
      <c r="L10" t="s">
        <v>104</v>
      </c>
      <c r="M10">
        <v>0.99299999999999999</v>
      </c>
      <c r="N10">
        <v>0</v>
      </c>
      <c r="O10">
        <v>3.8874496999999999</v>
      </c>
      <c r="P10">
        <v>4.8802995999999998</v>
      </c>
      <c r="Q10">
        <v>0</v>
      </c>
      <c r="R10">
        <v>0</v>
      </c>
      <c r="S10" s="1">
        <f t="shared" si="0"/>
        <v>9.9999999999999811E-2</v>
      </c>
      <c r="T10" s="2">
        <f t="shared" si="1"/>
        <v>9.9999999999999805</v>
      </c>
    </row>
    <row r="11" spans="1:24" x14ac:dyDescent="0.2">
      <c r="A11" t="s">
        <v>105</v>
      </c>
      <c r="D11">
        <v>12.407999999999999</v>
      </c>
      <c r="E11">
        <v>6.7965603000000003</v>
      </c>
      <c r="L11" t="s">
        <v>105</v>
      </c>
      <c r="M11">
        <v>0</v>
      </c>
      <c r="N11">
        <v>0</v>
      </c>
      <c r="O11">
        <v>12.407999999999999</v>
      </c>
      <c r="P11">
        <v>6.7965603000000003</v>
      </c>
      <c r="Q11">
        <v>5.6114396999999991</v>
      </c>
      <c r="R11">
        <v>0</v>
      </c>
      <c r="S11" s="1">
        <f t="shared" si="0"/>
        <v>9.9999999999999811E-2</v>
      </c>
      <c r="T11" s="2">
        <f t="shared" si="1"/>
        <v>9.9999999999999805</v>
      </c>
    </row>
    <row r="12" spans="1:24" x14ac:dyDescent="0.2">
      <c r="A12" t="s">
        <v>106</v>
      </c>
      <c r="D12">
        <v>27.519449999999999</v>
      </c>
      <c r="E12">
        <v>6.7184999999999997</v>
      </c>
      <c r="L12" t="s">
        <v>106</v>
      </c>
      <c r="M12">
        <v>0</v>
      </c>
      <c r="N12">
        <v>20.800999999999998</v>
      </c>
      <c r="O12">
        <v>27.519449999999999</v>
      </c>
      <c r="P12">
        <v>6.7184999999999997</v>
      </c>
      <c r="Q12">
        <v>0</v>
      </c>
      <c r="R12">
        <v>0</v>
      </c>
      <c r="S12" s="1">
        <f t="shared" si="0"/>
        <v>0.30800999999999978</v>
      </c>
      <c r="T12" s="2">
        <f t="shared" si="1"/>
        <v>30.800999999999981</v>
      </c>
    </row>
    <row r="13" spans="1:24" x14ac:dyDescent="0.2">
      <c r="A13" t="s">
        <v>107</v>
      </c>
      <c r="D13">
        <v>37.092148000000002</v>
      </c>
      <c r="E13">
        <v>5.8143253000000001</v>
      </c>
      <c r="L13" t="s">
        <v>107</v>
      </c>
      <c r="M13">
        <v>0</v>
      </c>
      <c r="N13">
        <v>0</v>
      </c>
      <c r="O13">
        <v>37.092148000000002</v>
      </c>
      <c r="P13">
        <v>5.8143253000000001</v>
      </c>
      <c r="Q13">
        <v>31.277822700000002</v>
      </c>
      <c r="R13">
        <v>0</v>
      </c>
      <c r="S13" s="1">
        <f t="shared" si="0"/>
        <v>0.30800999999999978</v>
      </c>
      <c r="T13" s="2">
        <f t="shared" si="1"/>
        <v>30.800999999999981</v>
      </c>
    </row>
    <row r="14" spans="1:24" x14ac:dyDescent="0.2">
      <c r="A14" t="s">
        <v>108</v>
      </c>
      <c r="D14">
        <v>31.198574000000001</v>
      </c>
      <c r="E14">
        <v>6.6946000000000003</v>
      </c>
      <c r="L14" t="s">
        <v>108</v>
      </c>
      <c r="M14">
        <v>0</v>
      </c>
      <c r="N14">
        <v>24.504000000000001</v>
      </c>
      <c r="O14">
        <v>31.198574000000001</v>
      </c>
      <c r="P14">
        <v>6.6946000000000003</v>
      </c>
      <c r="Q14">
        <v>0</v>
      </c>
      <c r="R14">
        <v>0</v>
      </c>
      <c r="S14" s="1">
        <f t="shared" si="0"/>
        <v>0.55304999999999982</v>
      </c>
      <c r="T14" s="2">
        <f t="shared" si="1"/>
        <v>55.304999999999978</v>
      </c>
    </row>
    <row r="15" spans="1:24" x14ac:dyDescent="0.2">
      <c r="A15" t="s">
        <v>109</v>
      </c>
      <c r="D15">
        <v>34.000725000000003</v>
      </c>
      <c r="E15">
        <v>5.8487</v>
      </c>
      <c r="L15" t="s">
        <v>109</v>
      </c>
      <c r="M15">
        <v>0</v>
      </c>
      <c r="N15">
        <v>28.152000000000001</v>
      </c>
      <c r="O15">
        <v>34.000725000000003</v>
      </c>
      <c r="P15">
        <v>5.8487</v>
      </c>
      <c r="Q15">
        <v>0</v>
      </c>
      <c r="R15">
        <v>0</v>
      </c>
      <c r="S15" s="1">
        <f t="shared" si="0"/>
        <v>0.83456999999999981</v>
      </c>
      <c r="T15" s="2">
        <f t="shared" si="1"/>
        <v>83.456999999999979</v>
      </c>
    </row>
    <row r="16" spans="1:24" x14ac:dyDescent="0.2">
      <c r="A16" t="s">
        <v>110</v>
      </c>
      <c r="D16">
        <v>30.206323999999999</v>
      </c>
      <c r="E16">
        <v>4.7848997000000004</v>
      </c>
      <c r="L16" t="s">
        <v>110</v>
      </c>
      <c r="M16">
        <v>0</v>
      </c>
      <c r="N16">
        <v>0</v>
      </c>
      <c r="O16">
        <v>30.206323999999999</v>
      </c>
      <c r="P16">
        <v>4.7848997000000004</v>
      </c>
      <c r="Q16">
        <v>25.421424300000002</v>
      </c>
      <c r="R16">
        <v>0</v>
      </c>
      <c r="S16" s="1">
        <f t="shared" si="0"/>
        <v>0.83456999999999981</v>
      </c>
      <c r="T16" s="2">
        <f t="shared" si="1"/>
        <v>83.456999999999979</v>
      </c>
    </row>
    <row r="17" spans="1:20" x14ac:dyDescent="0.2">
      <c r="A17" t="s">
        <v>111</v>
      </c>
      <c r="D17">
        <v>29.481400000000001</v>
      </c>
      <c r="E17">
        <v>7.0518830000000001</v>
      </c>
      <c r="L17" t="s">
        <v>111</v>
      </c>
      <c r="M17">
        <v>0</v>
      </c>
      <c r="N17">
        <v>10.287000000000001</v>
      </c>
      <c r="O17">
        <v>29.481400000000001</v>
      </c>
      <c r="P17">
        <v>7.0518830000000001</v>
      </c>
      <c r="Q17">
        <v>12.142517</v>
      </c>
      <c r="R17">
        <v>0</v>
      </c>
      <c r="S17" s="1">
        <f t="shared" si="0"/>
        <v>0.93743999999999983</v>
      </c>
      <c r="T17" s="2">
        <f t="shared" si="1"/>
        <v>93.743999999999986</v>
      </c>
    </row>
    <row r="18" spans="1:20" x14ac:dyDescent="0.2">
      <c r="A18" t="s">
        <v>112</v>
      </c>
      <c r="D18">
        <v>10.846299999999999</v>
      </c>
      <c r="E18">
        <v>6.7900999999999998</v>
      </c>
      <c r="L18" t="s">
        <v>112</v>
      </c>
      <c r="M18">
        <v>0</v>
      </c>
      <c r="N18">
        <v>0</v>
      </c>
      <c r="O18">
        <v>10.846299999999999</v>
      </c>
      <c r="P18">
        <v>6.7900999999999998</v>
      </c>
      <c r="Q18">
        <v>4.0561999999999996</v>
      </c>
      <c r="R18">
        <v>0</v>
      </c>
      <c r="S18" s="1">
        <f t="shared" si="0"/>
        <v>0.93743999999999983</v>
      </c>
      <c r="T18" s="2">
        <f t="shared" si="1"/>
        <v>93.743999999999986</v>
      </c>
    </row>
    <row r="19" spans="1:20" x14ac:dyDescent="0.2">
      <c r="A19" t="s">
        <v>113</v>
      </c>
      <c r="D19">
        <v>22.514348999999999</v>
      </c>
      <c r="E19">
        <v>6.5283170000000004</v>
      </c>
      <c r="L19" t="s">
        <v>113</v>
      </c>
      <c r="M19">
        <v>0</v>
      </c>
      <c r="N19">
        <v>0</v>
      </c>
      <c r="O19">
        <v>22.514348999999999</v>
      </c>
      <c r="P19">
        <v>6.5283170000000004</v>
      </c>
      <c r="Q19">
        <v>15.986032</v>
      </c>
      <c r="R19">
        <v>0</v>
      </c>
      <c r="S19" s="1">
        <f t="shared" si="0"/>
        <v>0.93743999999999983</v>
      </c>
      <c r="T19" s="2">
        <f t="shared" si="1"/>
        <v>93.743999999999986</v>
      </c>
    </row>
    <row r="20" spans="1:20" x14ac:dyDescent="0.2">
      <c r="A20" t="s">
        <v>114</v>
      </c>
      <c r="D20">
        <v>14.92595</v>
      </c>
      <c r="E20">
        <v>8.6702659999999998</v>
      </c>
      <c r="L20" t="s">
        <v>114</v>
      </c>
      <c r="M20">
        <v>0</v>
      </c>
      <c r="N20">
        <v>6.2560000000000002</v>
      </c>
      <c r="O20">
        <v>14.92595</v>
      </c>
      <c r="P20">
        <v>8.6702659999999998</v>
      </c>
      <c r="Q20">
        <v>0</v>
      </c>
      <c r="R20">
        <v>0</v>
      </c>
      <c r="S20" s="1">
        <f t="shared" si="0"/>
        <v>0.99999999999999989</v>
      </c>
      <c r="T20" s="2">
        <f t="shared" si="1"/>
        <v>99.999999999999986</v>
      </c>
    </row>
    <row r="21" spans="1:20" x14ac:dyDescent="0.2">
      <c r="A21" t="s">
        <v>115</v>
      </c>
      <c r="D21">
        <v>3.9950502000000001</v>
      </c>
      <c r="E21">
        <v>12.343133999999999</v>
      </c>
      <c r="L21" t="s">
        <v>115</v>
      </c>
      <c r="M21">
        <v>8.3480000000000008</v>
      </c>
      <c r="N21">
        <v>0</v>
      </c>
      <c r="O21">
        <v>3.9950502000000001</v>
      </c>
      <c r="P21">
        <v>12.343133999999999</v>
      </c>
      <c r="Q21">
        <v>0</v>
      </c>
      <c r="R21">
        <v>0</v>
      </c>
      <c r="S21" s="1">
        <f t="shared" si="0"/>
        <v>0.91651999999999989</v>
      </c>
      <c r="T21" s="2">
        <f t="shared" si="1"/>
        <v>91.651999999999987</v>
      </c>
    </row>
    <row r="22" spans="1:20" x14ac:dyDescent="0.2">
      <c r="A22" t="s">
        <v>116</v>
      </c>
      <c r="D22">
        <v>0.40477487000000001</v>
      </c>
      <c r="E22">
        <v>11.023199999999999</v>
      </c>
      <c r="L22" t="s">
        <v>116</v>
      </c>
      <c r="M22">
        <v>10.618</v>
      </c>
      <c r="N22">
        <v>0</v>
      </c>
      <c r="O22">
        <v>0.40477487000000001</v>
      </c>
      <c r="P22">
        <v>11.023199999999999</v>
      </c>
      <c r="Q22">
        <v>0</v>
      </c>
      <c r="R22">
        <v>0</v>
      </c>
      <c r="S22" s="1">
        <f t="shared" si="0"/>
        <v>0.81033999999999995</v>
      </c>
      <c r="T22" s="2">
        <f t="shared" si="1"/>
        <v>81.033999999999992</v>
      </c>
    </row>
    <row r="23" spans="1:20" x14ac:dyDescent="0.2">
      <c r="A23" t="s">
        <v>117</v>
      </c>
      <c r="D23">
        <v>0</v>
      </c>
      <c r="E23">
        <v>6.96305</v>
      </c>
      <c r="L23" t="s">
        <v>117</v>
      </c>
      <c r="M23">
        <v>6.9630000000000001</v>
      </c>
      <c r="N23">
        <v>0</v>
      </c>
      <c r="O23">
        <v>0</v>
      </c>
      <c r="P23">
        <v>6.96305</v>
      </c>
      <c r="Q23">
        <v>0</v>
      </c>
      <c r="R23">
        <v>0</v>
      </c>
      <c r="S23" s="1">
        <f t="shared" si="0"/>
        <v>0.74070999999999998</v>
      </c>
      <c r="T23" s="2">
        <f t="shared" si="1"/>
        <v>74.070999999999998</v>
      </c>
    </row>
    <row r="24" spans="1:20" x14ac:dyDescent="0.2">
      <c r="A24" t="s">
        <v>118</v>
      </c>
      <c r="D24">
        <v>0</v>
      </c>
      <c r="E24">
        <v>9.2199000000000009</v>
      </c>
      <c r="L24" t="s">
        <v>118</v>
      </c>
      <c r="M24">
        <v>9.2200000000000006</v>
      </c>
      <c r="N24">
        <v>0</v>
      </c>
      <c r="O24">
        <v>0</v>
      </c>
      <c r="P24">
        <v>9.2199000000000009</v>
      </c>
      <c r="Q24">
        <v>0</v>
      </c>
      <c r="R24">
        <v>0</v>
      </c>
      <c r="S24" s="1">
        <f t="shared" si="0"/>
        <v>0.64851000000000003</v>
      </c>
      <c r="T24" s="2">
        <f t="shared" si="1"/>
        <v>64.850999999999999</v>
      </c>
    </row>
    <row r="25" spans="1:20" x14ac:dyDescent="0.2">
      <c r="A25" t="s">
        <v>119</v>
      </c>
      <c r="D25">
        <v>0</v>
      </c>
      <c r="E25">
        <v>7.8210670000000002</v>
      </c>
      <c r="L25" t="s">
        <v>119</v>
      </c>
      <c r="M25">
        <v>7.8209999999999997</v>
      </c>
      <c r="N25">
        <v>0</v>
      </c>
      <c r="O25">
        <v>0</v>
      </c>
      <c r="P25">
        <v>7.8210670000000002</v>
      </c>
      <c r="Q25">
        <v>0</v>
      </c>
      <c r="R25">
        <v>0</v>
      </c>
      <c r="S25" s="1">
        <f t="shared" si="0"/>
        <v>0.57030000000000003</v>
      </c>
      <c r="T25" s="2">
        <f t="shared" si="1"/>
        <v>57.03</v>
      </c>
    </row>
    <row r="26" spans="1:20" x14ac:dyDescent="0.2">
      <c r="A26" t="s">
        <v>120</v>
      </c>
      <c r="D26">
        <v>0</v>
      </c>
      <c r="E26">
        <v>6.479133</v>
      </c>
      <c r="L26" t="s">
        <v>120</v>
      </c>
      <c r="M26">
        <v>6.4790000000000001</v>
      </c>
      <c r="N26">
        <v>0</v>
      </c>
      <c r="O26">
        <v>0</v>
      </c>
      <c r="P26">
        <v>6.479133</v>
      </c>
      <c r="Q26">
        <v>0</v>
      </c>
      <c r="R26">
        <v>0</v>
      </c>
      <c r="S26" s="1">
        <f t="shared" si="0"/>
        <v>0.50551000000000001</v>
      </c>
      <c r="T26" s="2">
        <f t="shared" si="1"/>
        <v>50.551000000000002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X26"/>
  <sheetViews>
    <sheetView workbookViewId="0"/>
  </sheetViews>
  <sheetFormatPr baseColWidth="10" defaultColWidth="8.83203125" defaultRowHeight="15" x14ac:dyDescent="0.2"/>
  <sheetData>
    <row r="1" spans="1:24" x14ac:dyDescent="0.2">
      <c r="A1" t="s">
        <v>0</v>
      </c>
      <c r="D1" t="s">
        <v>1</v>
      </c>
      <c r="L1" t="s">
        <v>2</v>
      </c>
      <c r="R1" t="s">
        <v>3</v>
      </c>
      <c r="S1" s="1">
        <v>0.50551000000000035</v>
      </c>
      <c r="T1">
        <f>S1*V1</f>
        <v>50.551000000000037</v>
      </c>
      <c r="U1" t="s">
        <v>4</v>
      </c>
      <c r="V1">
        <v>100</v>
      </c>
      <c r="W1" t="s">
        <v>5</v>
      </c>
      <c r="X1" s="1">
        <v>0.1</v>
      </c>
    </row>
    <row r="2" spans="1:24" x14ac:dyDescent="0.2">
      <c r="A2" t="s">
        <v>6</v>
      </c>
      <c r="B2" t="s">
        <v>7</v>
      </c>
      <c r="C2" t="s">
        <v>8</v>
      </c>
      <c r="D2" t="s">
        <v>9</v>
      </c>
      <c r="E2" t="s">
        <v>10</v>
      </c>
      <c r="F2" t="s">
        <v>11</v>
      </c>
      <c r="G2" t="s">
        <v>12</v>
      </c>
      <c r="H2" t="s">
        <v>13</v>
      </c>
      <c r="I2" t="s">
        <v>14</v>
      </c>
      <c r="L2" t="s">
        <v>6</v>
      </c>
      <c r="M2" t="s">
        <v>7</v>
      </c>
      <c r="N2" t="s">
        <v>8</v>
      </c>
      <c r="O2" t="s">
        <v>9</v>
      </c>
      <c r="P2" t="s">
        <v>10</v>
      </c>
      <c r="Q2" t="s">
        <v>11</v>
      </c>
      <c r="R2" t="s">
        <v>12</v>
      </c>
      <c r="S2" t="s">
        <v>13</v>
      </c>
      <c r="T2" t="s">
        <v>14</v>
      </c>
      <c r="W2" t="s">
        <v>15</v>
      </c>
      <c r="X2" s="1">
        <v>1</v>
      </c>
    </row>
    <row r="3" spans="1:24" x14ac:dyDescent="0.2">
      <c r="A3" t="s">
        <v>121</v>
      </c>
      <c r="D3">
        <v>0</v>
      </c>
      <c r="E3">
        <v>6.2813996999999997</v>
      </c>
      <c r="L3" t="s">
        <v>121</v>
      </c>
      <c r="M3">
        <v>6.2809999999999997</v>
      </c>
      <c r="N3">
        <v>0</v>
      </c>
      <c r="O3">
        <v>0</v>
      </c>
      <c r="P3">
        <v>6.2813996999999997</v>
      </c>
      <c r="Q3">
        <v>0</v>
      </c>
      <c r="R3">
        <v>0</v>
      </c>
      <c r="S3" s="1">
        <f t="shared" ref="S3:S26" si="0">T3/V$1</f>
        <v>0.44270000000000037</v>
      </c>
      <c r="T3" s="2">
        <f>T1-M3+N3</f>
        <v>44.270000000000039</v>
      </c>
    </row>
    <row r="4" spans="1:24" x14ac:dyDescent="0.2">
      <c r="A4" t="s">
        <v>122</v>
      </c>
      <c r="D4">
        <v>0</v>
      </c>
      <c r="E4">
        <v>7.1082996999999999</v>
      </c>
      <c r="L4" t="s">
        <v>122</v>
      </c>
      <c r="M4">
        <v>7.1079999999999997</v>
      </c>
      <c r="N4">
        <v>0</v>
      </c>
      <c r="O4">
        <v>0</v>
      </c>
      <c r="P4">
        <v>7.1082996999999999</v>
      </c>
      <c r="Q4">
        <v>0</v>
      </c>
      <c r="R4">
        <v>0</v>
      </c>
      <c r="S4" s="1">
        <f t="shared" si="0"/>
        <v>0.37162000000000039</v>
      </c>
      <c r="T4" s="2">
        <f t="shared" ref="T4:T26" si="1">T3-M4+N4</f>
        <v>37.162000000000042</v>
      </c>
    </row>
    <row r="5" spans="1:24" x14ac:dyDescent="0.2">
      <c r="A5" t="s">
        <v>123</v>
      </c>
      <c r="D5">
        <v>0</v>
      </c>
      <c r="E5">
        <v>7.137467</v>
      </c>
      <c r="L5" t="s">
        <v>123</v>
      </c>
      <c r="M5">
        <v>7.1369999999999996</v>
      </c>
      <c r="N5">
        <v>0</v>
      </c>
      <c r="O5">
        <v>0</v>
      </c>
      <c r="P5">
        <v>7.137467</v>
      </c>
      <c r="Q5">
        <v>0</v>
      </c>
      <c r="R5">
        <v>0</v>
      </c>
      <c r="S5" s="1">
        <f t="shared" si="0"/>
        <v>0.30025000000000041</v>
      </c>
      <c r="T5" s="2">
        <f t="shared" si="1"/>
        <v>30.025000000000041</v>
      </c>
    </row>
    <row r="6" spans="1:24" x14ac:dyDescent="0.2">
      <c r="A6" t="s">
        <v>124</v>
      </c>
      <c r="D6">
        <v>0</v>
      </c>
      <c r="E6">
        <v>6.9606332999999996</v>
      </c>
      <c r="L6" t="s">
        <v>124</v>
      </c>
      <c r="M6">
        <v>6.9610000000000003</v>
      </c>
      <c r="N6">
        <v>0</v>
      </c>
      <c r="O6">
        <v>0</v>
      </c>
      <c r="P6">
        <v>6.9606332999999996</v>
      </c>
      <c r="Q6">
        <v>0</v>
      </c>
      <c r="R6">
        <v>0</v>
      </c>
      <c r="S6" s="1">
        <f t="shared" si="0"/>
        <v>0.23064000000000043</v>
      </c>
      <c r="T6" s="2">
        <f t="shared" si="1"/>
        <v>23.064000000000043</v>
      </c>
      <c r="V6" t="s">
        <v>20</v>
      </c>
      <c r="W6" t="s">
        <v>125</v>
      </c>
    </row>
    <row r="7" spans="1:24" x14ac:dyDescent="0.2">
      <c r="A7" t="s">
        <v>126</v>
      </c>
      <c r="D7">
        <v>0</v>
      </c>
      <c r="E7">
        <v>6.8076999999999996</v>
      </c>
      <c r="L7" t="s">
        <v>126</v>
      </c>
      <c r="M7">
        <v>6.8079999999999998</v>
      </c>
      <c r="N7">
        <v>0</v>
      </c>
      <c r="O7">
        <v>0</v>
      </c>
      <c r="P7">
        <v>6.8076999999999996</v>
      </c>
      <c r="Q7">
        <v>0</v>
      </c>
      <c r="R7">
        <v>0</v>
      </c>
      <c r="S7" s="1">
        <f t="shared" si="0"/>
        <v>0.16256000000000043</v>
      </c>
      <c r="T7" s="2">
        <f t="shared" si="1"/>
        <v>16.256000000000043</v>
      </c>
      <c r="V7" t="s">
        <v>23</v>
      </c>
      <c r="W7" t="s">
        <v>127</v>
      </c>
    </row>
    <row r="8" spans="1:24" x14ac:dyDescent="0.2">
      <c r="A8" t="s">
        <v>128</v>
      </c>
      <c r="D8">
        <v>0</v>
      </c>
      <c r="E8">
        <v>6.8803253</v>
      </c>
      <c r="L8" t="s">
        <v>128</v>
      </c>
      <c r="M8">
        <v>3.6030000000000002</v>
      </c>
      <c r="N8">
        <v>0</v>
      </c>
      <c r="O8">
        <v>0</v>
      </c>
      <c r="P8">
        <v>6.8803253</v>
      </c>
      <c r="Q8">
        <v>0</v>
      </c>
      <c r="R8">
        <v>3.2773253000000002</v>
      </c>
      <c r="S8" s="1">
        <f t="shared" si="0"/>
        <v>0.12653000000000042</v>
      </c>
      <c r="T8" s="2">
        <f t="shared" si="1"/>
        <v>12.653000000000043</v>
      </c>
      <c r="V8" t="s">
        <v>26</v>
      </c>
      <c r="W8">
        <v>8.3000000000000004E-2</v>
      </c>
    </row>
    <row r="9" spans="1:24" x14ac:dyDescent="0.2">
      <c r="A9" t="s">
        <v>129</v>
      </c>
      <c r="D9">
        <v>0.24477486000000001</v>
      </c>
      <c r="E9">
        <v>5.9586800000000002</v>
      </c>
      <c r="L9" t="s">
        <v>129</v>
      </c>
      <c r="M9">
        <v>0</v>
      </c>
      <c r="N9">
        <v>0</v>
      </c>
      <c r="O9">
        <v>0.24477486000000001</v>
      </c>
      <c r="P9">
        <v>5.9586800000000002</v>
      </c>
      <c r="Q9">
        <v>0</v>
      </c>
      <c r="R9">
        <v>5.7139051399999996</v>
      </c>
      <c r="S9" s="1">
        <f t="shared" si="0"/>
        <v>0.12653000000000042</v>
      </c>
      <c r="T9" s="2">
        <f t="shared" si="1"/>
        <v>12.653000000000043</v>
      </c>
      <c r="V9" t="s">
        <v>28</v>
      </c>
      <c r="W9">
        <f>W8/60</f>
        <v>1.3833333333333334E-3</v>
      </c>
    </row>
    <row r="10" spans="1:24" x14ac:dyDescent="0.2">
      <c r="A10" t="s">
        <v>130</v>
      </c>
      <c r="D10">
        <v>4.5429750000000002</v>
      </c>
      <c r="E10">
        <v>7.1951003</v>
      </c>
      <c r="L10" t="s">
        <v>130</v>
      </c>
      <c r="M10">
        <v>2.6520000000000001</v>
      </c>
      <c r="N10">
        <v>0</v>
      </c>
      <c r="O10">
        <v>4.5429750000000002</v>
      </c>
      <c r="P10">
        <v>7.1951003</v>
      </c>
      <c r="Q10">
        <v>0</v>
      </c>
      <c r="R10">
        <v>0</v>
      </c>
      <c r="S10" s="1">
        <f t="shared" si="0"/>
        <v>0.10001000000000043</v>
      </c>
      <c r="T10" s="2">
        <f t="shared" si="1"/>
        <v>10.001000000000044</v>
      </c>
    </row>
    <row r="11" spans="1:24" x14ac:dyDescent="0.2">
      <c r="A11" t="s">
        <v>131</v>
      </c>
      <c r="D11">
        <v>13.991949999999999</v>
      </c>
      <c r="E11">
        <v>5.856325</v>
      </c>
      <c r="L11" t="s">
        <v>131</v>
      </c>
      <c r="M11">
        <v>0</v>
      </c>
      <c r="N11">
        <v>8.1359999999999992</v>
      </c>
      <c r="O11">
        <v>13.991949999999999</v>
      </c>
      <c r="P11">
        <v>5.856325</v>
      </c>
      <c r="Q11">
        <v>0</v>
      </c>
      <c r="R11">
        <v>0</v>
      </c>
      <c r="S11" s="1">
        <f t="shared" si="0"/>
        <v>0.18137000000000042</v>
      </c>
      <c r="T11" s="2">
        <f t="shared" si="1"/>
        <v>18.137000000000043</v>
      </c>
    </row>
    <row r="12" spans="1:24" x14ac:dyDescent="0.2">
      <c r="A12" t="s">
        <v>132</v>
      </c>
      <c r="D12">
        <v>24.063725000000002</v>
      </c>
      <c r="E12">
        <v>6.9812500000000002</v>
      </c>
      <c r="L12" t="s">
        <v>132</v>
      </c>
      <c r="M12">
        <v>0</v>
      </c>
      <c r="N12">
        <v>17.082000000000001</v>
      </c>
      <c r="O12">
        <v>24.063725000000002</v>
      </c>
      <c r="P12">
        <v>6.9812500000000002</v>
      </c>
      <c r="Q12">
        <v>0</v>
      </c>
      <c r="R12">
        <v>0</v>
      </c>
      <c r="S12" s="1">
        <f t="shared" si="0"/>
        <v>0.35219000000000045</v>
      </c>
      <c r="T12" s="2">
        <f t="shared" si="1"/>
        <v>35.219000000000044</v>
      </c>
    </row>
    <row r="13" spans="1:24" x14ac:dyDescent="0.2">
      <c r="A13" t="s">
        <v>133</v>
      </c>
      <c r="D13">
        <v>35.975352999999998</v>
      </c>
      <c r="E13">
        <v>6.9197249999999997</v>
      </c>
      <c r="L13" t="s">
        <v>133</v>
      </c>
      <c r="M13">
        <v>0</v>
      </c>
      <c r="N13">
        <v>27.834</v>
      </c>
      <c r="O13">
        <v>35.975352999999998</v>
      </c>
      <c r="P13">
        <v>6.9197249999999997</v>
      </c>
      <c r="Q13">
        <v>1.221627999999999</v>
      </c>
      <c r="R13">
        <v>0</v>
      </c>
      <c r="S13" s="1">
        <f t="shared" si="0"/>
        <v>0.63053000000000037</v>
      </c>
      <c r="T13" s="2">
        <f t="shared" si="1"/>
        <v>63.05300000000004</v>
      </c>
    </row>
    <row r="14" spans="1:24" x14ac:dyDescent="0.2">
      <c r="A14" t="s">
        <v>134</v>
      </c>
      <c r="D14">
        <v>38.574770000000001</v>
      </c>
      <c r="E14">
        <v>7.4809999999999999</v>
      </c>
      <c r="L14" t="s">
        <v>134</v>
      </c>
      <c r="M14">
        <v>0</v>
      </c>
      <c r="N14">
        <v>0</v>
      </c>
      <c r="O14">
        <v>38.574770000000001</v>
      </c>
      <c r="P14">
        <v>7.4809999999999999</v>
      </c>
      <c r="Q14">
        <v>31.093769999999999</v>
      </c>
      <c r="R14">
        <v>0</v>
      </c>
      <c r="S14" s="1">
        <f t="shared" si="0"/>
        <v>0.63053000000000037</v>
      </c>
      <c r="T14" s="2">
        <f t="shared" si="1"/>
        <v>63.05300000000004</v>
      </c>
    </row>
    <row r="15" spans="1:24" x14ac:dyDescent="0.2">
      <c r="A15" t="s">
        <v>135</v>
      </c>
      <c r="D15">
        <v>42.863549999999996</v>
      </c>
      <c r="E15">
        <v>6.8400496999999998</v>
      </c>
      <c r="L15" t="s">
        <v>135</v>
      </c>
      <c r="M15">
        <v>0</v>
      </c>
      <c r="N15">
        <v>0</v>
      </c>
      <c r="O15">
        <v>42.863549999999996</v>
      </c>
      <c r="P15">
        <v>6.8400496999999998</v>
      </c>
      <c r="Q15">
        <v>36.023500299999988</v>
      </c>
      <c r="R15">
        <v>0</v>
      </c>
      <c r="S15" s="1">
        <f t="shared" si="0"/>
        <v>0.63053000000000037</v>
      </c>
      <c r="T15" s="2">
        <f t="shared" si="1"/>
        <v>63.05300000000004</v>
      </c>
    </row>
    <row r="16" spans="1:24" x14ac:dyDescent="0.2">
      <c r="A16" t="s">
        <v>136</v>
      </c>
      <c r="D16">
        <v>27.681099</v>
      </c>
      <c r="E16">
        <v>8.2013490000000004</v>
      </c>
      <c r="L16" t="s">
        <v>136</v>
      </c>
      <c r="M16">
        <v>0</v>
      </c>
      <c r="N16">
        <v>19.48</v>
      </c>
      <c r="O16">
        <v>27.681099</v>
      </c>
      <c r="P16">
        <v>8.2013490000000004</v>
      </c>
      <c r="Q16">
        <v>0</v>
      </c>
      <c r="R16">
        <v>0</v>
      </c>
      <c r="S16" s="1">
        <f t="shared" si="0"/>
        <v>0.82533000000000045</v>
      </c>
      <c r="T16" s="2">
        <f t="shared" si="1"/>
        <v>82.533000000000044</v>
      </c>
    </row>
    <row r="17" spans="1:20" x14ac:dyDescent="0.2">
      <c r="A17" t="s">
        <v>137</v>
      </c>
      <c r="D17">
        <v>28.155650999999999</v>
      </c>
      <c r="E17">
        <v>10.687201</v>
      </c>
      <c r="L17" t="s">
        <v>137</v>
      </c>
      <c r="M17">
        <v>0</v>
      </c>
      <c r="N17">
        <v>17.468</v>
      </c>
      <c r="O17">
        <v>28.155650999999999</v>
      </c>
      <c r="P17">
        <v>10.687201</v>
      </c>
      <c r="Q17">
        <v>0</v>
      </c>
      <c r="R17">
        <v>0</v>
      </c>
      <c r="S17" s="1">
        <f t="shared" si="0"/>
        <v>1.0000100000000005</v>
      </c>
      <c r="T17" s="2">
        <f t="shared" si="1"/>
        <v>100.00100000000005</v>
      </c>
    </row>
    <row r="18" spans="1:20" x14ac:dyDescent="0.2">
      <c r="A18" t="s">
        <v>138</v>
      </c>
      <c r="D18">
        <v>19.143073999999999</v>
      </c>
      <c r="E18">
        <v>11.6921</v>
      </c>
      <c r="L18" t="s">
        <v>138</v>
      </c>
      <c r="M18">
        <v>0</v>
      </c>
      <c r="N18">
        <v>0</v>
      </c>
      <c r="O18">
        <v>19.143073999999999</v>
      </c>
      <c r="P18">
        <v>11.6921</v>
      </c>
      <c r="Q18">
        <v>7.4509739999999987</v>
      </c>
      <c r="R18">
        <v>0</v>
      </c>
      <c r="S18" s="1">
        <f t="shared" si="0"/>
        <v>1.0000100000000005</v>
      </c>
      <c r="T18" s="2">
        <f t="shared" si="1"/>
        <v>100.00100000000005</v>
      </c>
    </row>
    <row r="19" spans="1:20" x14ac:dyDescent="0.2">
      <c r="A19" t="s">
        <v>139</v>
      </c>
      <c r="D19">
        <v>15.402348999999999</v>
      </c>
      <c r="E19">
        <v>8.5540669999999999</v>
      </c>
      <c r="L19" t="s">
        <v>139</v>
      </c>
      <c r="M19">
        <v>0</v>
      </c>
      <c r="N19">
        <v>0</v>
      </c>
      <c r="O19">
        <v>15.402348999999999</v>
      </c>
      <c r="P19">
        <v>8.5540669999999999</v>
      </c>
      <c r="Q19">
        <v>6.8482819999999993</v>
      </c>
      <c r="R19">
        <v>0</v>
      </c>
      <c r="S19" s="1">
        <f t="shared" si="0"/>
        <v>1.0000100000000005</v>
      </c>
      <c r="T19" s="2">
        <f t="shared" si="1"/>
        <v>100.00100000000005</v>
      </c>
    </row>
    <row r="20" spans="1:20" x14ac:dyDescent="0.2">
      <c r="A20" t="s">
        <v>140</v>
      </c>
      <c r="D20">
        <v>9.9274500000000003</v>
      </c>
      <c r="E20">
        <v>11.9452</v>
      </c>
      <c r="L20" t="s">
        <v>140</v>
      </c>
      <c r="M20">
        <v>2.0179999999999998</v>
      </c>
      <c r="N20">
        <v>0</v>
      </c>
      <c r="O20">
        <v>9.9274500000000003</v>
      </c>
      <c r="P20">
        <v>11.9452</v>
      </c>
      <c r="Q20">
        <v>0</v>
      </c>
      <c r="R20">
        <v>0</v>
      </c>
      <c r="S20" s="1">
        <f t="shared" si="0"/>
        <v>0.97983000000000042</v>
      </c>
      <c r="T20" s="2">
        <f t="shared" si="1"/>
        <v>97.983000000000047</v>
      </c>
    </row>
    <row r="21" spans="1:20" x14ac:dyDescent="0.2">
      <c r="A21" t="s">
        <v>141</v>
      </c>
      <c r="D21">
        <v>3.6736996</v>
      </c>
      <c r="E21">
        <v>12.214134</v>
      </c>
      <c r="L21" t="s">
        <v>141</v>
      </c>
      <c r="M21">
        <v>8.5399999999999991</v>
      </c>
      <c r="N21">
        <v>0</v>
      </c>
      <c r="O21">
        <v>3.6736996</v>
      </c>
      <c r="P21">
        <v>12.214134</v>
      </c>
      <c r="Q21">
        <v>0</v>
      </c>
      <c r="R21">
        <v>0</v>
      </c>
      <c r="S21" s="1">
        <f t="shared" si="0"/>
        <v>0.89443000000000039</v>
      </c>
      <c r="T21" s="2">
        <f t="shared" si="1"/>
        <v>89.44300000000004</v>
      </c>
    </row>
    <row r="22" spans="1:20" x14ac:dyDescent="0.2">
      <c r="A22" t="s">
        <v>142</v>
      </c>
      <c r="D22">
        <v>0.62197506000000002</v>
      </c>
      <c r="E22">
        <v>8.4974749999999997</v>
      </c>
      <c r="L22" t="s">
        <v>142</v>
      </c>
      <c r="M22">
        <v>7.875</v>
      </c>
      <c r="N22">
        <v>0</v>
      </c>
      <c r="O22">
        <v>0.62197506000000002</v>
      </c>
      <c r="P22">
        <v>8.4974749999999997</v>
      </c>
      <c r="Q22">
        <v>0</v>
      </c>
      <c r="R22">
        <v>0</v>
      </c>
      <c r="S22" s="1">
        <f t="shared" si="0"/>
        <v>0.8156800000000004</v>
      </c>
      <c r="T22" s="2">
        <f t="shared" si="1"/>
        <v>81.56800000000004</v>
      </c>
    </row>
    <row r="23" spans="1:20" x14ac:dyDescent="0.2">
      <c r="A23" t="s">
        <v>143</v>
      </c>
      <c r="D23">
        <v>0</v>
      </c>
      <c r="E23">
        <v>9.2484999999999999</v>
      </c>
      <c r="L23" t="s">
        <v>143</v>
      </c>
      <c r="M23">
        <v>9.2490000000000006</v>
      </c>
      <c r="N23">
        <v>0</v>
      </c>
      <c r="O23">
        <v>0</v>
      </c>
      <c r="P23">
        <v>9.2484999999999999</v>
      </c>
      <c r="Q23">
        <v>0</v>
      </c>
      <c r="R23">
        <v>0</v>
      </c>
      <c r="S23" s="1">
        <f t="shared" si="0"/>
        <v>0.72319000000000044</v>
      </c>
      <c r="T23" s="2">
        <f t="shared" si="1"/>
        <v>72.319000000000045</v>
      </c>
    </row>
    <row r="24" spans="1:20" x14ac:dyDescent="0.2">
      <c r="A24" t="s">
        <v>144</v>
      </c>
      <c r="D24">
        <v>0</v>
      </c>
      <c r="E24">
        <v>8.2867990000000002</v>
      </c>
      <c r="L24" t="s">
        <v>144</v>
      </c>
      <c r="M24">
        <v>8.2870000000000008</v>
      </c>
      <c r="N24">
        <v>0</v>
      </c>
      <c r="O24">
        <v>0</v>
      </c>
      <c r="P24">
        <v>8.2867990000000002</v>
      </c>
      <c r="Q24">
        <v>0</v>
      </c>
      <c r="R24">
        <v>0</v>
      </c>
      <c r="S24" s="1">
        <f t="shared" si="0"/>
        <v>0.64032000000000044</v>
      </c>
      <c r="T24" s="2">
        <f t="shared" si="1"/>
        <v>64.032000000000039</v>
      </c>
    </row>
    <row r="25" spans="1:20" x14ac:dyDescent="0.2">
      <c r="A25" t="s">
        <v>145</v>
      </c>
      <c r="D25">
        <v>0</v>
      </c>
      <c r="E25">
        <v>7.7146999999999997</v>
      </c>
      <c r="L25" t="s">
        <v>145</v>
      </c>
      <c r="M25">
        <v>7.7149999999999999</v>
      </c>
      <c r="N25">
        <v>0</v>
      </c>
      <c r="O25">
        <v>0</v>
      </c>
      <c r="P25">
        <v>7.7146999999999997</v>
      </c>
      <c r="Q25">
        <v>0</v>
      </c>
      <c r="R25">
        <v>0</v>
      </c>
      <c r="S25" s="1">
        <f t="shared" si="0"/>
        <v>0.56317000000000039</v>
      </c>
      <c r="T25" s="2">
        <f t="shared" si="1"/>
        <v>56.317000000000036</v>
      </c>
    </row>
    <row r="26" spans="1:20" x14ac:dyDescent="0.2">
      <c r="A26" t="s">
        <v>146</v>
      </c>
      <c r="D26">
        <v>0</v>
      </c>
      <c r="E26">
        <v>7.0270000000000001</v>
      </c>
      <c r="L26" t="s">
        <v>146</v>
      </c>
      <c r="M26">
        <v>7.0270000000000001</v>
      </c>
      <c r="N26">
        <v>0</v>
      </c>
      <c r="O26">
        <v>0</v>
      </c>
      <c r="P26">
        <v>7.0270000000000001</v>
      </c>
      <c r="Q26">
        <v>0</v>
      </c>
      <c r="R26">
        <v>0</v>
      </c>
      <c r="S26" s="1">
        <f t="shared" si="0"/>
        <v>0.49290000000000034</v>
      </c>
      <c r="T26" s="2">
        <f t="shared" si="1"/>
        <v>49.290000000000035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X26"/>
  <sheetViews>
    <sheetView workbookViewId="0"/>
  </sheetViews>
  <sheetFormatPr baseColWidth="10" defaultColWidth="8.83203125" defaultRowHeight="15" x14ac:dyDescent="0.2"/>
  <sheetData>
    <row r="1" spans="1:24" x14ac:dyDescent="0.2">
      <c r="A1" t="s">
        <v>0</v>
      </c>
      <c r="D1" t="s">
        <v>1</v>
      </c>
      <c r="L1" t="s">
        <v>2</v>
      </c>
      <c r="R1" t="s">
        <v>3</v>
      </c>
      <c r="S1" s="1">
        <v>0.49290000000000028</v>
      </c>
      <c r="T1">
        <f>S1*V1</f>
        <v>49.290000000000028</v>
      </c>
      <c r="U1" t="s">
        <v>4</v>
      </c>
      <c r="V1">
        <v>100</v>
      </c>
      <c r="W1" t="s">
        <v>5</v>
      </c>
      <c r="X1" s="1">
        <v>0.1</v>
      </c>
    </row>
    <row r="2" spans="1:24" x14ac:dyDescent="0.2">
      <c r="A2" t="s">
        <v>6</v>
      </c>
      <c r="B2" t="s">
        <v>7</v>
      </c>
      <c r="C2" t="s">
        <v>8</v>
      </c>
      <c r="D2" t="s">
        <v>9</v>
      </c>
      <c r="E2" t="s">
        <v>10</v>
      </c>
      <c r="F2" t="s">
        <v>11</v>
      </c>
      <c r="G2" t="s">
        <v>12</v>
      </c>
      <c r="H2" t="s">
        <v>13</v>
      </c>
      <c r="I2" t="s">
        <v>14</v>
      </c>
      <c r="L2" t="s">
        <v>6</v>
      </c>
      <c r="M2" t="s">
        <v>7</v>
      </c>
      <c r="N2" t="s">
        <v>8</v>
      </c>
      <c r="O2" t="s">
        <v>9</v>
      </c>
      <c r="P2" t="s">
        <v>10</v>
      </c>
      <c r="Q2" t="s">
        <v>11</v>
      </c>
      <c r="R2" t="s">
        <v>12</v>
      </c>
      <c r="S2" t="s">
        <v>13</v>
      </c>
      <c r="T2" t="s">
        <v>14</v>
      </c>
      <c r="W2" t="s">
        <v>15</v>
      </c>
      <c r="X2" s="1">
        <v>1</v>
      </c>
    </row>
    <row r="3" spans="1:24" x14ac:dyDescent="0.2">
      <c r="A3" t="s">
        <v>147</v>
      </c>
      <c r="D3">
        <v>0</v>
      </c>
      <c r="E3">
        <v>5.9262249999999996</v>
      </c>
      <c r="L3" t="s">
        <v>147</v>
      </c>
      <c r="M3">
        <v>5.9260000000000002</v>
      </c>
      <c r="N3">
        <v>0</v>
      </c>
      <c r="O3">
        <v>0</v>
      </c>
      <c r="P3">
        <v>5.9262249999999996</v>
      </c>
      <c r="Q3">
        <v>0</v>
      </c>
      <c r="R3">
        <v>0</v>
      </c>
      <c r="S3" s="1">
        <f t="shared" ref="S3:S26" si="0">T3/V$1</f>
        <v>0.43364000000000025</v>
      </c>
      <c r="T3" s="2">
        <f>T1-M3+N3</f>
        <v>43.364000000000026</v>
      </c>
    </row>
    <row r="4" spans="1:24" x14ac:dyDescent="0.2">
      <c r="A4" t="s">
        <v>148</v>
      </c>
      <c r="D4">
        <v>0</v>
      </c>
      <c r="E4">
        <v>6.9436499999999999</v>
      </c>
      <c r="L4" t="s">
        <v>148</v>
      </c>
      <c r="M4">
        <v>6.944</v>
      </c>
      <c r="N4">
        <v>0</v>
      </c>
      <c r="O4">
        <v>0</v>
      </c>
      <c r="P4">
        <v>6.9436499999999999</v>
      </c>
      <c r="Q4">
        <v>0</v>
      </c>
      <c r="R4">
        <v>0</v>
      </c>
      <c r="S4" s="1">
        <f t="shared" si="0"/>
        <v>0.36420000000000025</v>
      </c>
      <c r="T4" s="2">
        <f t="shared" ref="T4:T26" si="1">T3-M4+N4</f>
        <v>36.420000000000023</v>
      </c>
    </row>
    <row r="5" spans="1:24" x14ac:dyDescent="0.2">
      <c r="A5" t="s">
        <v>149</v>
      </c>
      <c r="D5">
        <v>0</v>
      </c>
      <c r="E5">
        <v>6.2606999999999999</v>
      </c>
      <c r="L5" t="s">
        <v>149</v>
      </c>
      <c r="M5">
        <v>6.2610000000000001</v>
      </c>
      <c r="N5">
        <v>0</v>
      </c>
      <c r="O5">
        <v>0</v>
      </c>
      <c r="P5">
        <v>6.2606999999999999</v>
      </c>
      <c r="Q5">
        <v>0</v>
      </c>
      <c r="R5">
        <v>0</v>
      </c>
      <c r="S5" s="1">
        <f t="shared" si="0"/>
        <v>0.30159000000000025</v>
      </c>
      <c r="T5" s="2">
        <f t="shared" si="1"/>
        <v>30.159000000000024</v>
      </c>
    </row>
    <row r="6" spans="1:24" x14ac:dyDescent="0.2">
      <c r="A6" t="s">
        <v>150</v>
      </c>
      <c r="D6">
        <v>0</v>
      </c>
      <c r="E6">
        <v>6.6660599999999999</v>
      </c>
      <c r="L6" t="s">
        <v>150</v>
      </c>
      <c r="M6">
        <v>5.18</v>
      </c>
      <c r="N6">
        <v>0</v>
      </c>
      <c r="O6">
        <v>0</v>
      </c>
      <c r="P6">
        <v>6.6660599999999999</v>
      </c>
      <c r="Q6">
        <v>0</v>
      </c>
      <c r="R6">
        <v>1.4860599999999999</v>
      </c>
      <c r="S6" s="1">
        <f t="shared" si="0"/>
        <v>0.24979000000000023</v>
      </c>
      <c r="T6" s="2">
        <f t="shared" si="1"/>
        <v>24.979000000000024</v>
      </c>
      <c r="V6" t="s">
        <v>20</v>
      </c>
      <c r="W6" t="s">
        <v>151</v>
      </c>
    </row>
    <row r="7" spans="1:24" x14ac:dyDescent="0.2">
      <c r="A7" t="s">
        <v>152</v>
      </c>
      <c r="D7">
        <v>0</v>
      </c>
      <c r="E7">
        <v>6.2012</v>
      </c>
      <c r="L7" t="s">
        <v>152</v>
      </c>
      <c r="M7">
        <v>0</v>
      </c>
      <c r="N7">
        <v>0</v>
      </c>
      <c r="O7">
        <v>0</v>
      </c>
      <c r="P7">
        <v>6.2012</v>
      </c>
      <c r="Q7">
        <v>0</v>
      </c>
      <c r="R7">
        <v>6.2012</v>
      </c>
      <c r="S7" s="1">
        <f t="shared" si="0"/>
        <v>0.24979000000000023</v>
      </c>
      <c r="T7" s="2">
        <f t="shared" si="1"/>
        <v>24.979000000000024</v>
      </c>
      <c r="V7" t="s">
        <v>23</v>
      </c>
      <c r="W7" t="s">
        <v>24</v>
      </c>
    </row>
    <row r="8" spans="1:24" x14ac:dyDescent="0.2">
      <c r="A8" t="s">
        <v>153</v>
      </c>
      <c r="D8">
        <v>0</v>
      </c>
      <c r="E8">
        <v>7.0959500000000002</v>
      </c>
      <c r="L8" t="s">
        <v>153</v>
      </c>
      <c r="M8">
        <v>7.0960000000000001</v>
      </c>
      <c r="N8">
        <v>0</v>
      </c>
      <c r="O8">
        <v>0</v>
      </c>
      <c r="P8">
        <v>7.0959500000000002</v>
      </c>
      <c r="Q8">
        <v>0</v>
      </c>
      <c r="R8">
        <v>0</v>
      </c>
      <c r="S8" s="1">
        <f t="shared" si="0"/>
        <v>0.17883000000000024</v>
      </c>
      <c r="T8" s="2">
        <f t="shared" si="1"/>
        <v>17.883000000000024</v>
      </c>
      <c r="V8" t="s">
        <v>26</v>
      </c>
      <c r="W8">
        <v>8.2000000000000003E-2</v>
      </c>
    </row>
    <row r="9" spans="1:24" x14ac:dyDescent="0.2">
      <c r="A9" t="s">
        <v>154</v>
      </c>
      <c r="D9">
        <v>0.106975056</v>
      </c>
      <c r="E9">
        <v>7.9907002</v>
      </c>
      <c r="L9" t="s">
        <v>154</v>
      </c>
      <c r="M9">
        <v>7.8840000000000003</v>
      </c>
      <c r="N9">
        <v>0</v>
      </c>
      <c r="O9">
        <v>0.106975056</v>
      </c>
      <c r="P9">
        <v>7.9907002</v>
      </c>
      <c r="Q9">
        <v>0</v>
      </c>
      <c r="R9">
        <v>0</v>
      </c>
      <c r="S9" s="1">
        <f t="shared" si="0"/>
        <v>9.9990000000000231E-2</v>
      </c>
      <c r="T9" s="2">
        <f t="shared" si="1"/>
        <v>9.9990000000000236</v>
      </c>
      <c r="V9" t="s">
        <v>28</v>
      </c>
      <c r="W9">
        <f>W8/60</f>
        <v>1.3666666666666666E-3</v>
      </c>
    </row>
    <row r="10" spans="1:24" x14ac:dyDescent="0.2">
      <c r="A10" t="s">
        <v>155</v>
      </c>
      <c r="D10">
        <v>3.9860747000000001</v>
      </c>
      <c r="E10">
        <v>7.5684246999999996</v>
      </c>
      <c r="L10" t="s">
        <v>155</v>
      </c>
      <c r="M10">
        <v>0</v>
      </c>
      <c r="N10">
        <v>0</v>
      </c>
      <c r="O10">
        <v>3.9860747000000001</v>
      </c>
      <c r="P10">
        <v>7.5684246999999996</v>
      </c>
      <c r="Q10">
        <v>0</v>
      </c>
      <c r="R10">
        <v>3.582349999999999</v>
      </c>
      <c r="S10" s="1">
        <f t="shared" si="0"/>
        <v>9.9990000000000231E-2</v>
      </c>
      <c r="T10" s="2">
        <f t="shared" si="1"/>
        <v>9.9990000000000236</v>
      </c>
    </row>
    <row r="11" spans="1:24" x14ac:dyDescent="0.2">
      <c r="A11" t="s">
        <v>156</v>
      </c>
      <c r="D11">
        <v>14.924675000000001</v>
      </c>
      <c r="E11">
        <v>5.9570999999999996</v>
      </c>
      <c r="L11" t="s">
        <v>156</v>
      </c>
      <c r="M11">
        <v>0</v>
      </c>
      <c r="N11">
        <v>8.968</v>
      </c>
      <c r="O11">
        <v>14.924675000000001</v>
      </c>
      <c r="P11">
        <v>5.9570999999999996</v>
      </c>
      <c r="Q11">
        <v>0</v>
      </c>
      <c r="R11">
        <v>0</v>
      </c>
      <c r="S11" s="1">
        <f t="shared" si="0"/>
        <v>0.18967000000000023</v>
      </c>
      <c r="T11" s="2">
        <f t="shared" si="1"/>
        <v>18.967000000000024</v>
      </c>
    </row>
    <row r="12" spans="1:24" x14ac:dyDescent="0.2">
      <c r="A12" t="s">
        <v>157</v>
      </c>
      <c r="D12">
        <v>26.119225</v>
      </c>
      <c r="E12">
        <v>7.1307999999999998</v>
      </c>
      <c r="L12" t="s">
        <v>157</v>
      </c>
      <c r="M12">
        <v>0</v>
      </c>
      <c r="N12">
        <v>15.882999999999999</v>
      </c>
      <c r="O12">
        <v>26.119225</v>
      </c>
      <c r="P12">
        <v>7.1307999999999998</v>
      </c>
      <c r="Q12">
        <v>3.1054249999999999</v>
      </c>
      <c r="R12">
        <v>0</v>
      </c>
      <c r="S12" s="1">
        <f t="shared" si="0"/>
        <v>0.34850000000000025</v>
      </c>
      <c r="T12" s="2">
        <f t="shared" si="1"/>
        <v>34.850000000000023</v>
      </c>
    </row>
    <row r="13" spans="1:24" x14ac:dyDescent="0.2">
      <c r="A13" t="s">
        <v>158</v>
      </c>
      <c r="D13">
        <v>34.112124999999999</v>
      </c>
      <c r="E13">
        <v>6.8797664999999997</v>
      </c>
      <c r="L13" t="s">
        <v>158</v>
      </c>
      <c r="M13">
        <v>0</v>
      </c>
      <c r="N13">
        <v>27.231999999999999</v>
      </c>
      <c r="O13">
        <v>34.112124999999999</v>
      </c>
      <c r="P13">
        <v>6.8797664999999997</v>
      </c>
      <c r="Q13">
        <v>0</v>
      </c>
      <c r="R13">
        <v>0</v>
      </c>
      <c r="S13" s="1">
        <f t="shared" si="0"/>
        <v>0.62082000000000026</v>
      </c>
      <c r="T13" s="2">
        <f t="shared" si="1"/>
        <v>62.082000000000022</v>
      </c>
    </row>
    <row r="14" spans="1:24" x14ac:dyDescent="0.2">
      <c r="A14" t="s">
        <v>159</v>
      </c>
      <c r="D14">
        <v>38.929200000000002</v>
      </c>
      <c r="E14">
        <v>6.8389329999999999</v>
      </c>
      <c r="L14" t="s">
        <v>159</v>
      </c>
      <c r="M14">
        <v>0</v>
      </c>
      <c r="N14">
        <v>0</v>
      </c>
      <c r="O14">
        <v>38.929200000000002</v>
      </c>
      <c r="P14">
        <v>6.8389329999999999</v>
      </c>
      <c r="Q14">
        <v>32.090266999999997</v>
      </c>
      <c r="R14">
        <v>0</v>
      </c>
      <c r="S14" s="1">
        <f t="shared" si="0"/>
        <v>0.62082000000000026</v>
      </c>
      <c r="T14" s="2">
        <f t="shared" si="1"/>
        <v>62.082000000000022</v>
      </c>
    </row>
    <row r="15" spans="1:24" x14ac:dyDescent="0.2">
      <c r="A15" t="s">
        <v>160</v>
      </c>
      <c r="D15">
        <v>41.887802000000001</v>
      </c>
      <c r="E15">
        <v>6.9926000000000004</v>
      </c>
      <c r="L15" t="s">
        <v>160</v>
      </c>
      <c r="M15">
        <v>0</v>
      </c>
      <c r="N15">
        <v>0</v>
      </c>
      <c r="O15">
        <v>41.887802000000001</v>
      </c>
      <c r="P15">
        <v>6.9926000000000004</v>
      </c>
      <c r="Q15">
        <v>34.895201999999998</v>
      </c>
      <c r="R15">
        <v>0</v>
      </c>
      <c r="S15" s="1">
        <f t="shared" si="0"/>
        <v>0.62082000000000026</v>
      </c>
      <c r="T15" s="2">
        <f t="shared" si="1"/>
        <v>62.082000000000022</v>
      </c>
    </row>
    <row r="16" spans="1:24" x14ac:dyDescent="0.2">
      <c r="A16" t="s">
        <v>161</v>
      </c>
      <c r="D16">
        <v>43.381419999999999</v>
      </c>
      <c r="E16">
        <v>6.8112000000000004</v>
      </c>
      <c r="L16" t="s">
        <v>161</v>
      </c>
      <c r="M16">
        <v>0</v>
      </c>
      <c r="N16">
        <v>0</v>
      </c>
      <c r="O16">
        <v>43.381419999999999</v>
      </c>
      <c r="P16">
        <v>6.8112000000000004</v>
      </c>
      <c r="Q16">
        <v>36.570219999999999</v>
      </c>
      <c r="R16">
        <v>0</v>
      </c>
      <c r="S16" s="1">
        <f t="shared" si="0"/>
        <v>0.62082000000000026</v>
      </c>
      <c r="T16" s="2">
        <f t="shared" si="1"/>
        <v>62.082000000000022</v>
      </c>
    </row>
    <row r="17" spans="1:20" x14ac:dyDescent="0.2">
      <c r="A17" t="s">
        <v>162</v>
      </c>
      <c r="D17">
        <v>40.861072999999998</v>
      </c>
      <c r="E17">
        <v>7.8014999999999999</v>
      </c>
      <c r="L17" t="s">
        <v>162</v>
      </c>
      <c r="M17">
        <v>0</v>
      </c>
      <c r="N17">
        <v>33.06</v>
      </c>
      <c r="O17">
        <v>40.861072999999998</v>
      </c>
      <c r="P17">
        <v>7.8014999999999999</v>
      </c>
      <c r="Q17">
        <v>0</v>
      </c>
      <c r="R17">
        <v>0</v>
      </c>
      <c r="S17" s="1">
        <f t="shared" si="0"/>
        <v>0.95142000000000027</v>
      </c>
      <c r="T17" s="2">
        <f t="shared" si="1"/>
        <v>95.142000000000024</v>
      </c>
    </row>
    <row r="18" spans="1:20" x14ac:dyDescent="0.2">
      <c r="A18" t="s">
        <v>163</v>
      </c>
      <c r="D18">
        <v>35.308450000000001</v>
      </c>
      <c r="E18">
        <v>4.8342999999999998</v>
      </c>
      <c r="L18" t="s">
        <v>163</v>
      </c>
      <c r="M18">
        <v>0</v>
      </c>
      <c r="N18">
        <v>0</v>
      </c>
      <c r="O18">
        <v>35.308450000000001</v>
      </c>
      <c r="P18">
        <v>4.8342999999999998</v>
      </c>
      <c r="Q18">
        <v>30.474150000000002</v>
      </c>
      <c r="R18">
        <v>0</v>
      </c>
      <c r="S18" s="1">
        <f t="shared" si="0"/>
        <v>0.95142000000000027</v>
      </c>
      <c r="T18" s="2">
        <f t="shared" si="1"/>
        <v>95.142000000000024</v>
      </c>
    </row>
    <row r="19" spans="1:20" x14ac:dyDescent="0.2">
      <c r="A19" t="s">
        <v>164</v>
      </c>
      <c r="D19">
        <v>22.904199999999999</v>
      </c>
      <c r="E19">
        <v>8.8291000000000004</v>
      </c>
      <c r="L19" t="s">
        <v>164</v>
      </c>
      <c r="M19">
        <v>0</v>
      </c>
      <c r="N19">
        <v>0</v>
      </c>
      <c r="O19">
        <v>22.904199999999999</v>
      </c>
      <c r="P19">
        <v>8.8291000000000004</v>
      </c>
      <c r="Q19">
        <v>14.075100000000001</v>
      </c>
      <c r="R19">
        <v>0</v>
      </c>
      <c r="S19" s="1">
        <f t="shared" si="0"/>
        <v>0.95142000000000027</v>
      </c>
      <c r="T19" s="2">
        <f t="shared" si="1"/>
        <v>95.142000000000024</v>
      </c>
    </row>
    <row r="20" spans="1:20" x14ac:dyDescent="0.2">
      <c r="A20" t="s">
        <v>165</v>
      </c>
      <c r="D20">
        <v>13.726000000000001</v>
      </c>
      <c r="E20">
        <v>8.8684010000000004</v>
      </c>
      <c r="L20" t="s">
        <v>165</v>
      </c>
      <c r="M20">
        <v>0</v>
      </c>
      <c r="N20">
        <v>4.8579999999999997</v>
      </c>
      <c r="O20">
        <v>13.726000000000001</v>
      </c>
      <c r="P20">
        <v>8.8684010000000004</v>
      </c>
      <c r="Q20">
        <v>0</v>
      </c>
      <c r="R20">
        <v>0</v>
      </c>
      <c r="S20" s="1">
        <f t="shared" si="0"/>
        <v>1.0000000000000002</v>
      </c>
      <c r="T20" s="2">
        <f t="shared" si="1"/>
        <v>100.00000000000003</v>
      </c>
    </row>
    <row r="21" spans="1:20" x14ac:dyDescent="0.2">
      <c r="A21" t="s">
        <v>166</v>
      </c>
      <c r="D21">
        <v>5.0553255000000004</v>
      </c>
      <c r="E21">
        <v>7.0177750000000003</v>
      </c>
      <c r="L21" t="s">
        <v>166</v>
      </c>
      <c r="M21">
        <v>1.962</v>
      </c>
      <c r="N21">
        <v>0</v>
      </c>
      <c r="O21">
        <v>5.0553255000000004</v>
      </c>
      <c r="P21">
        <v>7.0177750000000003</v>
      </c>
      <c r="Q21">
        <v>0</v>
      </c>
      <c r="R21">
        <v>0</v>
      </c>
      <c r="S21" s="1">
        <f t="shared" si="0"/>
        <v>0.98038000000000025</v>
      </c>
      <c r="T21" s="2">
        <f t="shared" si="1"/>
        <v>98.038000000000025</v>
      </c>
    </row>
    <row r="22" spans="1:20" x14ac:dyDescent="0.2">
      <c r="A22" t="s">
        <v>167</v>
      </c>
      <c r="D22">
        <v>0.90525140000000004</v>
      </c>
      <c r="E22">
        <v>8.5495999999999999</v>
      </c>
      <c r="L22" t="s">
        <v>167</v>
      </c>
      <c r="M22">
        <v>7.6440000000000001</v>
      </c>
      <c r="N22">
        <v>0</v>
      </c>
      <c r="O22">
        <v>0.90525140000000004</v>
      </c>
      <c r="P22">
        <v>8.5495999999999999</v>
      </c>
      <c r="Q22">
        <v>0</v>
      </c>
      <c r="R22">
        <v>0</v>
      </c>
      <c r="S22" s="1">
        <f t="shared" si="0"/>
        <v>0.90394000000000019</v>
      </c>
      <c r="T22" s="2">
        <f t="shared" si="1"/>
        <v>90.39400000000002</v>
      </c>
    </row>
    <row r="23" spans="1:20" x14ac:dyDescent="0.2">
      <c r="A23" t="s">
        <v>168</v>
      </c>
      <c r="D23">
        <v>0</v>
      </c>
      <c r="E23">
        <v>9.1579999999999995</v>
      </c>
      <c r="L23" t="s">
        <v>168</v>
      </c>
      <c r="M23">
        <v>9.1579999999999995</v>
      </c>
      <c r="N23">
        <v>0</v>
      </c>
      <c r="O23">
        <v>0</v>
      </c>
      <c r="P23">
        <v>9.1579999999999995</v>
      </c>
      <c r="Q23">
        <v>0</v>
      </c>
      <c r="R23">
        <v>0</v>
      </c>
      <c r="S23" s="1">
        <f t="shared" si="0"/>
        <v>0.81236000000000019</v>
      </c>
      <c r="T23" s="2">
        <f t="shared" si="1"/>
        <v>81.236000000000018</v>
      </c>
    </row>
    <row r="24" spans="1:20" x14ac:dyDescent="0.2">
      <c r="A24" t="s">
        <v>169</v>
      </c>
      <c r="D24">
        <v>0</v>
      </c>
      <c r="E24">
        <v>9.1118000000000006</v>
      </c>
      <c r="L24" t="s">
        <v>169</v>
      </c>
      <c r="M24">
        <v>9.1120000000000001</v>
      </c>
      <c r="N24">
        <v>0</v>
      </c>
      <c r="O24">
        <v>0</v>
      </c>
      <c r="P24">
        <v>9.1118000000000006</v>
      </c>
      <c r="Q24">
        <v>0</v>
      </c>
      <c r="R24">
        <v>0</v>
      </c>
      <c r="S24" s="1">
        <f t="shared" si="0"/>
        <v>0.72124000000000021</v>
      </c>
      <c r="T24" s="2">
        <f t="shared" si="1"/>
        <v>72.124000000000024</v>
      </c>
    </row>
    <row r="25" spans="1:20" x14ac:dyDescent="0.2">
      <c r="A25" t="s">
        <v>170</v>
      </c>
      <c r="D25">
        <v>0</v>
      </c>
      <c r="E25">
        <v>8.1691000000000003</v>
      </c>
      <c r="L25" t="s">
        <v>170</v>
      </c>
      <c r="M25">
        <v>8.1690000000000005</v>
      </c>
      <c r="N25">
        <v>0</v>
      </c>
      <c r="O25">
        <v>0</v>
      </c>
      <c r="P25">
        <v>8.1691000000000003</v>
      </c>
      <c r="Q25">
        <v>0</v>
      </c>
      <c r="R25">
        <v>0</v>
      </c>
      <c r="S25" s="1">
        <f t="shared" si="0"/>
        <v>0.63955000000000028</v>
      </c>
      <c r="T25" s="2">
        <f t="shared" si="1"/>
        <v>63.955000000000027</v>
      </c>
    </row>
    <row r="26" spans="1:20" x14ac:dyDescent="0.2">
      <c r="A26" t="s">
        <v>171</v>
      </c>
      <c r="D26">
        <v>0</v>
      </c>
      <c r="E26">
        <v>5.5617331999999999</v>
      </c>
      <c r="L26" t="s">
        <v>171</v>
      </c>
      <c r="M26">
        <v>5.5620000000000003</v>
      </c>
      <c r="N26">
        <v>0</v>
      </c>
      <c r="O26">
        <v>0</v>
      </c>
      <c r="P26">
        <v>5.5617331999999999</v>
      </c>
      <c r="Q26">
        <v>0</v>
      </c>
      <c r="R26">
        <v>0</v>
      </c>
      <c r="S26" s="1">
        <f t="shared" si="0"/>
        <v>0.58393000000000028</v>
      </c>
      <c r="T26" s="2">
        <f t="shared" si="1"/>
        <v>58.393000000000029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X26"/>
  <sheetViews>
    <sheetView workbookViewId="0"/>
  </sheetViews>
  <sheetFormatPr baseColWidth="10" defaultColWidth="8.83203125" defaultRowHeight="15" x14ac:dyDescent="0.2"/>
  <sheetData>
    <row r="1" spans="1:24" x14ac:dyDescent="0.2">
      <c r="A1" t="s">
        <v>0</v>
      </c>
      <c r="D1" t="s">
        <v>1</v>
      </c>
      <c r="L1" t="s">
        <v>2</v>
      </c>
      <c r="R1" t="s">
        <v>3</v>
      </c>
      <c r="S1" s="1">
        <v>0.58393000000000073</v>
      </c>
      <c r="T1">
        <f>S1*V1</f>
        <v>58.393000000000072</v>
      </c>
      <c r="U1" t="s">
        <v>4</v>
      </c>
      <c r="V1">
        <v>100</v>
      </c>
      <c r="W1" t="s">
        <v>5</v>
      </c>
      <c r="X1" s="1">
        <v>0.1</v>
      </c>
    </row>
    <row r="2" spans="1:24" x14ac:dyDescent="0.2">
      <c r="A2" t="s">
        <v>6</v>
      </c>
      <c r="B2" t="s">
        <v>7</v>
      </c>
      <c r="C2" t="s">
        <v>8</v>
      </c>
      <c r="D2" t="s">
        <v>9</v>
      </c>
      <c r="E2" t="s">
        <v>10</v>
      </c>
      <c r="F2" t="s">
        <v>11</v>
      </c>
      <c r="G2" t="s">
        <v>12</v>
      </c>
      <c r="H2" t="s">
        <v>13</v>
      </c>
      <c r="I2" t="s">
        <v>14</v>
      </c>
      <c r="L2" t="s">
        <v>6</v>
      </c>
      <c r="M2" t="s">
        <v>7</v>
      </c>
      <c r="N2" t="s">
        <v>8</v>
      </c>
      <c r="O2" t="s">
        <v>9</v>
      </c>
      <c r="P2" t="s">
        <v>10</v>
      </c>
      <c r="Q2" t="s">
        <v>11</v>
      </c>
      <c r="R2" t="s">
        <v>12</v>
      </c>
      <c r="S2" t="s">
        <v>13</v>
      </c>
      <c r="T2" t="s">
        <v>14</v>
      </c>
      <c r="W2" t="s">
        <v>15</v>
      </c>
      <c r="X2" s="1">
        <v>1</v>
      </c>
    </row>
    <row r="3" spans="1:24" x14ac:dyDescent="0.2">
      <c r="A3" t="s">
        <v>172</v>
      </c>
      <c r="D3">
        <v>0</v>
      </c>
      <c r="E3">
        <v>6.9447001999999998</v>
      </c>
      <c r="L3" t="s">
        <v>172</v>
      </c>
      <c r="M3">
        <v>6.9450000000000003</v>
      </c>
      <c r="N3">
        <v>0</v>
      </c>
      <c r="O3">
        <v>0</v>
      </c>
      <c r="P3">
        <v>6.9447001999999998</v>
      </c>
      <c r="Q3">
        <v>0</v>
      </c>
      <c r="R3">
        <v>0</v>
      </c>
      <c r="S3" s="1">
        <f t="shared" ref="S3:S26" si="0">T3/V$1</f>
        <v>0.51448000000000071</v>
      </c>
      <c r="T3" s="2">
        <f>T1-M3+N3</f>
        <v>51.448000000000071</v>
      </c>
    </row>
    <row r="4" spans="1:24" x14ac:dyDescent="0.2">
      <c r="A4" t="s">
        <v>173</v>
      </c>
      <c r="D4">
        <v>0</v>
      </c>
      <c r="E4">
        <v>7.0053996999999999</v>
      </c>
      <c r="L4" t="s">
        <v>173</v>
      </c>
      <c r="M4">
        <v>7.0049999999999999</v>
      </c>
      <c r="N4">
        <v>0</v>
      </c>
      <c r="O4">
        <v>0</v>
      </c>
      <c r="P4">
        <v>7.0053996999999999</v>
      </c>
      <c r="Q4">
        <v>0</v>
      </c>
      <c r="R4">
        <v>0</v>
      </c>
      <c r="S4" s="1">
        <f t="shared" si="0"/>
        <v>0.44443000000000071</v>
      </c>
      <c r="T4" s="2">
        <f t="shared" ref="T4:T26" si="1">T3-M4+N4</f>
        <v>44.443000000000069</v>
      </c>
    </row>
    <row r="5" spans="1:24" x14ac:dyDescent="0.2">
      <c r="A5" t="s">
        <v>174</v>
      </c>
      <c r="D5">
        <v>0</v>
      </c>
      <c r="E5">
        <v>5.4951663000000002</v>
      </c>
      <c r="L5" t="s">
        <v>174</v>
      </c>
      <c r="M5">
        <v>5.4950000000000001</v>
      </c>
      <c r="N5">
        <v>0</v>
      </c>
      <c r="O5">
        <v>0</v>
      </c>
      <c r="P5">
        <v>5.4951663000000002</v>
      </c>
      <c r="Q5">
        <v>0</v>
      </c>
      <c r="R5">
        <v>0</v>
      </c>
      <c r="S5" s="1">
        <f t="shared" si="0"/>
        <v>0.38948000000000071</v>
      </c>
      <c r="T5" s="2">
        <f t="shared" si="1"/>
        <v>38.948000000000071</v>
      </c>
    </row>
    <row r="6" spans="1:24" x14ac:dyDescent="0.2">
      <c r="A6" t="s">
        <v>175</v>
      </c>
      <c r="D6">
        <v>0</v>
      </c>
      <c r="E6">
        <v>2.1398000000000001</v>
      </c>
      <c r="L6" t="s">
        <v>175</v>
      </c>
      <c r="M6">
        <v>2.14</v>
      </c>
      <c r="N6">
        <v>0</v>
      </c>
      <c r="O6">
        <v>0</v>
      </c>
      <c r="P6">
        <v>2.1398000000000001</v>
      </c>
      <c r="Q6">
        <v>0</v>
      </c>
      <c r="R6">
        <v>0</v>
      </c>
      <c r="S6" s="1">
        <f t="shared" si="0"/>
        <v>0.36808000000000068</v>
      </c>
      <c r="T6" s="2">
        <f t="shared" si="1"/>
        <v>36.808000000000071</v>
      </c>
      <c r="V6" t="s">
        <v>20</v>
      </c>
      <c r="W6" t="s">
        <v>176</v>
      </c>
    </row>
    <row r="7" spans="1:24" x14ac:dyDescent="0.2">
      <c r="A7" t="s">
        <v>177</v>
      </c>
      <c r="D7">
        <v>0</v>
      </c>
      <c r="E7">
        <v>1.8851496999999999</v>
      </c>
      <c r="L7" t="s">
        <v>177</v>
      </c>
      <c r="M7">
        <v>1.885</v>
      </c>
      <c r="N7">
        <v>0</v>
      </c>
      <c r="O7">
        <v>0</v>
      </c>
      <c r="P7">
        <v>1.8851496999999999</v>
      </c>
      <c r="Q7">
        <v>0</v>
      </c>
      <c r="R7">
        <v>0</v>
      </c>
      <c r="S7" s="1">
        <f t="shared" si="0"/>
        <v>0.34923000000000071</v>
      </c>
      <c r="T7" s="2">
        <f t="shared" si="1"/>
        <v>34.923000000000073</v>
      </c>
      <c r="V7" t="s">
        <v>23</v>
      </c>
      <c r="W7" t="s">
        <v>24</v>
      </c>
    </row>
    <row r="8" spans="1:24" x14ac:dyDescent="0.2">
      <c r="A8" t="s">
        <v>178</v>
      </c>
      <c r="D8">
        <v>0</v>
      </c>
      <c r="E8">
        <v>9.2894199999999998</v>
      </c>
      <c r="L8" t="s">
        <v>178</v>
      </c>
      <c r="M8">
        <v>9.2889999999999997</v>
      </c>
      <c r="N8">
        <v>0</v>
      </c>
      <c r="O8">
        <v>0</v>
      </c>
      <c r="P8">
        <v>9.2894199999999998</v>
      </c>
      <c r="Q8">
        <v>0</v>
      </c>
      <c r="R8">
        <v>0</v>
      </c>
      <c r="S8" s="1">
        <f t="shared" si="0"/>
        <v>0.25634000000000073</v>
      </c>
      <c r="T8" s="2">
        <f t="shared" si="1"/>
        <v>25.634000000000071</v>
      </c>
      <c r="V8" t="s">
        <v>26</v>
      </c>
      <c r="W8">
        <v>8.2000000000000003E-2</v>
      </c>
    </row>
    <row r="9" spans="1:24" x14ac:dyDescent="0.2">
      <c r="A9" t="s">
        <v>179</v>
      </c>
      <c r="D9">
        <v>0.123601034</v>
      </c>
      <c r="E9">
        <v>8.4475499999999997</v>
      </c>
      <c r="L9" t="s">
        <v>179</v>
      </c>
      <c r="M9">
        <v>8.3239999999999998</v>
      </c>
      <c r="N9">
        <v>0</v>
      </c>
      <c r="O9">
        <v>0.123601034</v>
      </c>
      <c r="P9">
        <v>8.4475499999999997</v>
      </c>
      <c r="Q9">
        <v>0</v>
      </c>
      <c r="R9">
        <v>0</v>
      </c>
      <c r="S9" s="1">
        <f t="shared" si="0"/>
        <v>0.17310000000000073</v>
      </c>
      <c r="T9" s="2">
        <f t="shared" si="1"/>
        <v>17.310000000000073</v>
      </c>
      <c r="V9" t="s">
        <v>28</v>
      </c>
      <c r="W9">
        <f>W8/60</f>
        <v>1.3666666666666666E-3</v>
      </c>
    </row>
    <row r="10" spans="1:24" x14ac:dyDescent="0.2">
      <c r="A10" t="s">
        <v>180</v>
      </c>
      <c r="D10">
        <v>3.9773499999999999</v>
      </c>
      <c r="E10">
        <v>7.6056800000000004</v>
      </c>
      <c r="L10" t="s">
        <v>180</v>
      </c>
      <c r="M10">
        <v>3.6280000000000001</v>
      </c>
      <c r="N10">
        <v>0</v>
      </c>
      <c r="O10">
        <v>3.9773499999999999</v>
      </c>
      <c r="P10">
        <v>7.6056800000000004</v>
      </c>
      <c r="Q10">
        <v>0</v>
      </c>
      <c r="R10">
        <v>0</v>
      </c>
      <c r="S10" s="1">
        <f t="shared" si="0"/>
        <v>0.13682000000000072</v>
      </c>
      <c r="T10" s="2">
        <f t="shared" si="1"/>
        <v>13.682000000000073</v>
      </c>
    </row>
    <row r="11" spans="1:24" x14ac:dyDescent="0.2">
      <c r="A11" t="s">
        <v>181</v>
      </c>
      <c r="D11">
        <v>15.1264</v>
      </c>
      <c r="E11">
        <v>7.4200530000000002</v>
      </c>
      <c r="L11" t="s">
        <v>181</v>
      </c>
      <c r="M11">
        <v>0</v>
      </c>
      <c r="N11">
        <v>7.7060000000000004</v>
      </c>
      <c r="O11">
        <v>15.1264</v>
      </c>
      <c r="P11">
        <v>7.4200530000000002</v>
      </c>
      <c r="Q11">
        <v>0</v>
      </c>
      <c r="R11">
        <v>0</v>
      </c>
      <c r="S11" s="1">
        <f t="shared" si="0"/>
        <v>0.21388000000000074</v>
      </c>
      <c r="T11" s="2">
        <f t="shared" si="1"/>
        <v>21.388000000000073</v>
      </c>
    </row>
    <row r="12" spans="1:24" x14ac:dyDescent="0.2">
      <c r="A12" t="s">
        <v>182</v>
      </c>
      <c r="D12">
        <v>26.296724000000001</v>
      </c>
      <c r="E12">
        <v>7.5513596999999999</v>
      </c>
      <c r="L12" t="s">
        <v>182</v>
      </c>
      <c r="M12">
        <v>0</v>
      </c>
      <c r="N12">
        <v>18.745000000000001</v>
      </c>
      <c r="O12">
        <v>26.296724000000001</v>
      </c>
      <c r="P12">
        <v>7.5513596999999999</v>
      </c>
      <c r="Q12">
        <v>0</v>
      </c>
      <c r="R12">
        <v>0</v>
      </c>
      <c r="S12" s="1">
        <f t="shared" si="0"/>
        <v>0.40133000000000074</v>
      </c>
      <c r="T12" s="2">
        <f t="shared" si="1"/>
        <v>40.133000000000074</v>
      </c>
    </row>
    <row r="13" spans="1:24" x14ac:dyDescent="0.2">
      <c r="A13" t="s">
        <v>183</v>
      </c>
      <c r="D13">
        <v>34.290126999999998</v>
      </c>
      <c r="E13">
        <v>7.6826663000000002</v>
      </c>
      <c r="L13" t="s">
        <v>183</v>
      </c>
      <c r="M13">
        <v>0</v>
      </c>
      <c r="N13">
        <v>26.606999999999999</v>
      </c>
      <c r="O13">
        <v>34.290126999999998</v>
      </c>
      <c r="P13">
        <v>7.6826663000000002</v>
      </c>
      <c r="Q13">
        <v>0</v>
      </c>
      <c r="R13">
        <v>0</v>
      </c>
      <c r="S13" s="1">
        <f t="shared" si="0"/>
        <v>0.66740000000000066</v>
      </c>
      <c r="T13" s="2">
        <f t="shared" si="1"/>
        <v>66.740000000000066</v>
      </c>
    </row>
    <row r="14" spans="1:24" x14ac:dyDescent="0.2">
      <c r="A14" t="s">
        <v>184</v>
      </c>
      <c r="D14">
        <v>39.212200000000003</v>
      </c>
      <c r="E14">
        <v>7.3483000000000001</v>
      </c>
      <c r="L14" t="s">
        <v>184</v>
      </c>
      <c r="M14">
        <v>0</v>
      </c>
      <c r="N14">
        <v>14.555999999999999</v>
      </c>
      <c r="O14">
        <v>39.212200000000003</v>
      </c>
      <c r="P14">
        <v>7.3483000000000001</v>
      </c>
      <c r="Q14">
        <v>17.3079</v>
      </c>
      <c r="R14">
        <v>0</v>
      </c>
      <c r="S14" s="1">
        <f t="shared" si="0"/>
        <v>0.81296000000000068</v>
      </c>
      <c r="T14" s="2">
        <f t="shared" si="1"/>
        <v>81.296000000000063</v>
      </c>
    </row>
    <row r="15" spans="1:24" x14ac:dyDescent="0.2">
      <c r="A15" t="s">
        <v>185</v>
      </c>
      <c r="D15">
        <v>41.412075000000002</v>
      </c>
      <c r="E15">
        <v>5.7694749999999999</v>
      </c>
      <c r="L15" t="s">
        <v>185</v>
      </c>
      <c r="M15">
        <v>0</v>
      </c>
      <c r="N15">
        <v>0</v>
      </c>
      <c r="O15">
        <v>41.412075000000002</v>
      </c>
      <c r="P15">
        <v>5.7694749999999999</v>
      </c>
      <c r="Q15">
        <v>35.642600000000002</v>
      </c>
      <c r="R15">
        <v>0</v>
      </c>
      <c r="S15" s="1">
        <f t="shared" si="0"/>
        <v>0.81296000000000068</v>
      </c>
      <c r="T15" s="2">
        <f t="shared" si="1"/>
        <v>81.296000000000063</v>
      </c>
    </row>
    <row r="16" spans="1:24" x14ac:dyDescent="0.2">
      <c r="A16" t="s">
        <v>186</v>
      </c>
      <c r="D16">
        <v>30.740424999999998</v>
      </c>
      <c r="E16">
        <v>7.4567500000000004</v>
      </c>
      <c r="L16" t="s">
        <v>186</v>
      </c>
      <c r="M16">
        <v>0</v>
      </c>
      <c r="N16">
        <v>0</v>
      </c>
      <c r="O16">
        <v>30.740424999999998</v>
      </c>
      <c r="P16">
        <v>7.4567500000000004</v>
      </c>
      <c r="Q16">
        <v>23.283674999999999</v>
      </c>
      <c r="R16">
        <v>0</v>
      </c>
      <c r="S16" s="1">
        <f t="shared" si="0"/>
        <v>0.81296000000000068</v>
      </c>
      <c r="T16" s="2">
        <f t="shared" si="1"/>
        <v>81.296000000000063</v>
      </c>
    </row>
    <row r="17" spans="1:20" x14ac:dyDescent="0.2">
      <c r="A17" t="s">
        <v>187</v>
      </c>
      <c r="D17">
        <v>42.937550000000002</v>
      </c>
      <c r="E17">
        <v>9.1440260000000002</v>
      </c>
      <c r="L17" t="s">
        <v>187</v>
      </c>
      <c r="M17">
        <v>0</v>
      </c>
      <c r="N17">
        <v>0</v>
      </c>
      <c r="O17">
        <v>42.937550000000002</v>
      </c>
      <c r="P17">
        <v>9.1440260000000002</v>
      </c>
      <c r="Q17">
        <v>33.793524000000012</v>
      </c>
      <c r="R17">
        <v>0</v>
      </c>
      <c r="S17" s="1">
        <f t="shared" si="0"/>
        <v>0.81296000000000068</v>
      </c>
      <c r="T17" s="2">
        <f t="shared" si="1"/>
        <v>81.296000000000063</v>
      </c>
    </row>
    <row r="18" spans="1:20" x14ac:dyDescent="0.2">
      <c r="A18" t="s">
        <v>188</v>
      </c>
      <c r="D18">
        <v>36.593052</v>
      </c>
      <c r="E18">
        <v>7.2875667000000002</v>
      </c>
      <c r="L18" t="s">
        <v>188</v>
      </c>
      <c r="M18">
        <v>0</v>
      </c>
      <c r="N18">
        <v>0</v>
      </c>
      <c r="O18">
        <v>36.593052</v>
      </c>
      <c r="P18">
        <v>7.2875667000000002</v>
      </c>
      <c r="Q18">
        <v>29.305485300000001</v>
      </c>
      <c r="R18">
        <v>0</v>
      </c>
      <c r="S18" s="1">
        <f t="shared" si="0"/>
        <v>0.81296000000000068</v>
      </c>
      <c r="T18" s="2">
        <f t="shared" si="1"/>
        <v>81.296000000000063</v>
      </c>
    </row>
    <row r="19" spans="1:20" x14ac:dyDescent="0.2">
      <c r="A19" t="s">
        <v>189</v>
      </c>
      <c r="D19">
        <v>25.624725000000002</v>
      </c>
      <c r="E19">
        <v>6.9214799999999999</v>
      </c>
      <c r="L19" t="s">
        <v>189</v>
      </c>
      <c r="M19">
        <v>0</v>
      </c>
      <c r="N19">
        <v>18.702999999999999</v>
      </c>
      <c r="O19">
        <v>25.624725000000002</v>
      </c>
      <c r="P19">
        <v>6.9214799999999999</v>
      </c>
      <c r="Q19">
        <v>0</v>
      </c>
      <c r="R19">
        <v>0</v>
      </c>
      <c r="S19" s="1">
        <f t="shared" si="0"/>
        <v>0.99999000000000071</v>
      </c>
      <c r="T19" s="2">
        <f t="shared" si="1"/>
        <v>99.999000000000066</v>
      </c>
    </row>
    <row r="20" spans="1:20" x14ac:dyDescent="0.2">
      <c r="A20" t="s">
        <v>190</v>
      </c>
      <c r="D20">
        <v>14.088901</v>
      </c>
      <c r="E20">
        <v>6.5553936999999998</v>
      </c>
      <c r="L20" t="s">
        <v>190</v>
      </c>
      <c r="M20">
        <v>0</v>
      </c>
      <c r="N20">
        <v>0</v>
      </c>
      <c r="O20">
        <v>14.088901</v>
      </c>
      <c r="P20">
        <v>6.5553936999999998</v>
      </c>
      <c r="Q20">
        <v>7.5335073000000001</v>
      </c>
      <c r="R20">
        <v>0</v>
      </c>
      <c r="S20" s="1">
        <f t="shared" si="0"/>
        <v>0.99999000000000071</v>
      </c>
      <c r="T20" s="2">
        <f t="shared" si="1"/>
        <v>99.999000000000066</v>
      </c>
    </row>
    <row r="21" spans="1:20" x14ac:dyDescent="0.2">
      <c r="A21" t="s">
        <v>191</v>
      </c>
      <c r="D21">
        <v>3.9859498000000002</v>
      </c>
      <c r="E21">
        <v>7.5308003000000001</v>
      </c>
      <c r="L21" t="s">
        <v>191</v>
      </c>
      <c r="M21">
        <v>3.5449999999999999</v>
      </c>
      <c r="N21">
        <v>0</v>
      </c>
      <c r="O21">
        <v>3.9859498000000002</v>
      </c>
      <c r="P21">
        <v>7.5308003000000001</v>
      </c>
      <c r="Q21">
        <v>0</v>
      </c>
      <c r="R21">
        <v>0</v>
      </c>
      <c r="S21" s="1">
        <f t="shared" si="0"/>
        <v>0.96454000000000062</v>
      </c>
      <c r="T21" s="2">
        <f t="shared" si="1"/>
        <v>96.454000000000065</v>
      </c>
    </row>
    <row r="22" spans="1:20" x14ac:dyDescent="0.2">
      <c r="A22" t="s">
        <v>192</v>
      </c>
      <c r="D22">
        <v>0.40097602999999998</v>
      </c>
      <c r="E22">
        <v>5.1558000000000002</v>
      </c>
      <c r="L22" t="s">
        <v>192</v>
      </c>
      <c r="M22">
        <v>4.7549999999999999</v>
      </c>
      <c r="N22">
        <v>0</v>
      </c>
      <c r="O22">
        <v>0.40097602999999998</v>
      </c>
      <c r="P22">
        <v>5.1558000000000002</v>
      </c>
      <c r="Q22">
        <v>0</v>
      </c>
      <c r="R22">
        <v>0</v>
      </c>
      <c r="S22" s="1">
        <f t="shared" si="0"/>
        <v>0.91699000000000064</v>
      </c>
      <c r="T22" s="2">
        <f t="shared" si="1"/>
        <v>91.699000000000069</v>
      </c>
    </row>
    <row r="23" spans="1:20" x14ac:dyDescent="0.2">
      <c r="A23" t="s">
        <v>193</v>
      </c>
      <c r="D23">
        <v>0</v>
      </c>
      <c r="E23">
        <v>6.9409000000000001</v>
      </c>
      <c r="L23" t="s">
        <v>193</v>
      </c>
      <c r="M23">
        <v>6.9409999999999998</v>
      </c>
      <c r="N23">
        <v>0</v>
      </c>
      <c r="O23">
        <v>0</v>
      </c>
      <c r="P23">
        <v>6.9409000000000001</v>
      </c>
      <c r="Q23">
        <v>0</v>
      </c>
      <c r="R23">
        <v>0</v>
      </c>
      <c r="S23" s="1">
        <f t="shared" si="0"/>
        <v>0.84758000000000067</v>
      </c>
      <c r="T23" s="2">
        <f t="shared" si="1"/>
        <v>84.758000000000067</v>
      </c>
    </row>
    <row r="24" spans="1:20" x14ac:dyDescent="0.2">
      <c r="A24" t="s">
        <v>194</v>
      </c>
      <c r="D24">
        <v>0</v>
      </c>
      <c r="E24">
        <v>7.7612996000000001</v>
      </c>
      <c r="L24" t="s">
        <v>194</v>
      </c>
      <c r="M24">
        <v>7.7610000000000001</v>
      </c>
      <c r="N24">
        <v>0</v>
      </c>
      <c r="O24">
        <v>0</v>
      </c>
      <c r="P24">
        <v>7.7612996000000001</v>
      </c>
      <c r="Q24">
        <v>0</v>
      </c>
      <c r="R24">
        <v>0</v>
      </c>
      <c r="S24" s="1">
        <f t="shared" si="0"/>
        <v>0.76997000000000071</v>
      </c>
      <c r="T24" s="2">
        <f t="shared" si="1"/>
        <v>76.997000000000071</v>
      </c>
    </row>
    <row r="25" spans="1:20" x14ac:dyDescent="0.2">
      <c r="A25" t="s">
        <v>195</v>
      </c>
      <c r="D25">
        <v>0</v>
      </c>
      <c r="E25">
        <v>7.6244500000000004</v>
      </c>
      <c r="L25" t="s">
        <v>195</v>
      </c>
      <c r="M25">
        <v>7.6239999999999997</v>
      </c>
      <c r="N25">
        <v>0</v>
      </c>
      <c r="O25">
        <v>0</v>
      </c>
      <c r="P25">
        <v>7.6244500000000004</v>
      </c>
      <c r="Q25">
        <v>0</v>
      </c>
      <c r="R25">
        <v>0</v>
      </c>
      <c r="S25" s="1">
        <f t="shared" si="0"/>
        <v>0.69373000000000073</v>
      </c>
      <c r="T25" s="2">
        <f t="shared" si="1"/>
        <v>69.373000000000076</v>
      </c>
    </row>
    <row r="26" spans="1:20" x14ac:dyDescent="0.2">
      <c r="A26" t="s">
        <v>196</v>
      </c>
      <c r="D26">
        <v>0</v>
      </c>
      <c r="E26">
        <v>6.3106002999999999</v>
      </c>
      <c r="L26" t="s">
        <v>196</v>
      </c>
      <c r="M26">
        <v>6.3109999999999999</v>
      </c>
      <c r="N26">
        <v>0</v>
      </c>
      <c r="O26">
        <v>0</v>
      </c>
      <c r="P26">
        <v>6.3106002999999999</v>
      </c>
      <c r="Q26">
        <v>0</v>
      </c>
      <c r="R26">
        <v>0</v>
      </c>
      <c r="S26" s="1">
        <f t="shared" si="0"/>
        <v>0.63062000000000074</v>
      </c>
      <c r="T26" s="2">
        <f t="shared" si="1"/>
        <v>63.062000000000076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X26"/>
  <sheetViews>
    <sheetView workbookViewId="0"/>
  </sheetViews>
  <sheetFormatPr baseColWidth="10" defaultColWidth="8.83203125" defaultRowHeight="15" x14ac:dyDescent="0.2"/>
  <sheetData>
    <row r="1" spans="1:24" x14ac:dyDescent="0.2">
      <c r="A1" t="s">
        <v>0</v>
      </c>
      <c r="D1" t="s">
        <v>1</v>
      </c>
      <c r="L1" t="s">
        <v>2</v>
      </c>
      <c r="R1" t="s">
        <v>3</v>
      </c>
      <c r="S1" s="1">
        <v>0.63062000000000074</v>
      </c>
      <c r="T1">
        <f>S1*V1</f>
        <v>63.062000000000076</v>
      </c>
      <c r="U1" t="s">
        <v>4</v>
      </c>
      <c r="V1">
        <v>100</v>
      </c>
      <c r="W1" t="s">
        <v>5</v>
      </c>
      <c r="X1" s="1">
        <v>0.1</v>
      </c>
    </row>
    <row r="2" spans="1:24" x14ac:dyDescent="0.2">
      <c r="A2" t="s">
        <v>6</v>
      </c>
      <c r="B2" t="s">
        <v>7</v>
      </c>
      <c r="C2" t="s">
        <v>8</v>
      </c>
      <c r="D2" t="s">
        <v>9</v>
      </c>
      <c r="E2" t="s">
        <v>10</v>
      </c>
      <c r="F2" t="s">
        <v>11</v>
      </c>
      <c r="G2" t="s">
        <v>12</v>
      </c>
      <c r="H2" t="s">
        <v>13</v>
      </c>
      <c r="I2" t="s">
        <v>14</v>
      </c>
      <c r="L2" t="s">
        <v>6</v>
      </c>
      <c r="M2" t="s">
        <v>7</v>
      </c>
      <c r="N2" t="s">
        <v>8</v>
      </c>
      <c r="O2" t="s">
        <v>9</v>
      </c>
      <c r="P2" t="s">
        <v>10</v>
      </c>
      <c r="Q2" t="s">
        <v>11</v>
      </c>
      <c r="R2" t="s">
        <v>12</v>
      </c>
      <c r="S2" t="s">
        <v>13</v>
      </c>
      <c r="T2" t="s">
        <v>14</v>
      </c>
      <c r="W2" t="s">
        <v>15</v>
      </c>
      <c r="X2" s="1">
        <v>1</v>
      </c>
    </row>
    <row r="3" spans="1:24" x14ac:dyDescent="0.2">
      <c r="A3" t="s">
        <v>197</v>
      </c>
      <c r="D3">
        <v>0</v>
      </c>
      <c r="E3">
        <v>7.0726332999999997</v>
      </c>
      <c r="L3" t="s">
        <v>197</v>
      </c>
      <c r="M3">
        <v>7.0730000000000004</v>
      </c>
      <c r="N3">
        <v>0</v>
      </c>
      <c r="O3">
        <v>0</v>
      </c>
      <c r="P3">
        <v>7.0726332999999997</v>
      </c>
      <c r="Q3">
        <v>0</v>
      </c>
      <c r="R3">
        <v>0</v>
      </c>
      <c r="S3" s="1">
        <f t="shared" ref="S3:S26" si="0">T3/V$1</f>
        <v>0.55989000000000078</v>
      </c>
      <c r="T3" s="2">
        <f>T1-M3+N3</f>
        <v>55.989000000000075</v>
      </c>
    </row>
    <row r="4" spans="1:24" x14ac:dyDescent="0.2">
      <c r="A4" t="s">
        <v>198</v>
      </c>
      <c r="D4">
        <v>0</v>
      </c>
      <c r="E4">
        <v>7.0182995999999997</v>
      </c>
      <c r="L4" t="s">
        <v>198</v>
      </c>
      <c r="M4">
        <v>7.0179999999999998</v>
      </c>
      <c r="N4">
        <v>0</v>
      </c>
      <c r="O4">
        <v>0</v>
      </c>
      <c r="P4">
        <v>7.0182995999999997</v>
      </c>
      <c r="Q4">
        <v>0</v>
      </c>
      <c r="R4">
        <v>0</v>
      </c>
      <c r="S4" s="1">
        <f t="shared" si="0"/>
        <v>0.48971000000000076</v>
      </c>
      <c r="T4" s="2">
        <f t="shared" ref="T4:T26" si="1">T3-M4+N4</f>
        <v>48.971000000000075</v>
      </c>
    </row>
    <row r="5" spans="1:24" x14ac:dyDescent="0.2">
      <c r="A5" t="s">
        <v>199</v>
      </c>
      <c r="D5">
        <v>0</v>
      </c>
      <c r="E5">
        <v>6.3736663</v>
      </c>
      <c r="L5" t="s">
        <v>199</v>
      </c>
      <c r="M5">
        <v>6.3739999999999997</v>
      </c>
      <c r="N5">
        <v>0</v>
      </c>
      <c r="O5">
        <v>0</v>
      </c>
      <c r="P5">
        <v>6.3736663</v>
      </c>
      <c r="Q5">
        <v>0</v>
      </c>
      <c r="R5">
        <v>0</v>
      </c>
      <c r="S5" s="1">
        <f t="shared" si="0"/>
        <v>0.42597000000000074</v>
      </c>
      <c r="T5" s="2">
        <f t="shared" si="1"/>
        <v>42.597000000000072</v>
      </c>
    </row>
    <row r="6" spans="1:24" x14ac:dyDescent="0.2">
      <c r="A6" t="s">
        <v>200</v>
      </c>
      <c r="D6">
        <v>0</v>
      </c>
      <c r="E6">
        <v>6.9727499999999996</v>
      </c>
      <c r="L6" t="s">
        <v>200</v>
      </c>
      <c r="M6">
        <v>6.9729999999999999</v>
      </c>
      <c r="N6">
        <v>0</v>
      </c>
      <c r="O6">
        <v>0</v>
      </c>
      <c r="P6">
        <v>6.9727499999999996</v>
      </c>
      <c r="Q6">
        <v>0</v>
      </c>
      <c r="R6">
        <v>0</v>
      </c>
      <c r="S6" s="1">
        <f t="shared" si="0"/>
        <v>0.35624000000000072</v>
      </c>
      <c r="T6" s="2">
        <f t="shared" si="1"/>
        <v>35.624000000000073</v>
      </c>
      <c r="V6" t="s">
        <v>20</v>
      </c>
      <c r="W6" t="s">
        <v>201</v>
      </c>
    </row>
    <row r="7" spans="1:24" x14ac:dyDescent="0.2">
      <c r="A7" t="s">
        <v>202</v>
      </c>
      <c r="D7">
        <v>0</v>
      </c>
      <c r="E7">
        <v>6.9977499999999999</v>
      </c>
      <c r="L7" t="s">
        <v>202</v>
      </c>
      <c r="M7">
        <v>6.9980000000000002</v>
      </c>
      <c r="N7">
        <v>0</v>
      </c>
      <c r="O7">
        <v>0</v>
      </c>
      <c r="P7">
        <v>6.9977499999999999</v>
      </c>
      <c r="Q7">
        <v>0</v>
      </c>
      <c r="R7">
        <v>0</v>
      </c>
      <c r="S7" s="1">
        <f t="shared" si="0"/>
        <v>0.28626000000000074</v>
      </c>
      <c r="T7" s="2">
        <f t="shared" si="1"/>
        <v>28.626000000000072</v>
      </c>
      <c r="V7" t="s">
        <v>23</v>
      </c>
      <c r="W7" t="s">
        <v>127</v>
      </c>
    </row>
    <row r="8" spans="1:24" x14ac:dyDescent="0.2">
      <c r="A8" t="s">
        <v>203</v>
      </c>
      <c r="D8">
        <v>0</v>
      </c>
      <c r="E8">
        <v>7.0238750000000003</v>
      </c>
      <c r="L8" t="s">
        <v>203</v>
      </c>
      <c r="M8">
        <v>7.024</v>
      </c>
      <c r="N8">
        <v>0</v>
      </c>
      <c r="O8">
        <v>0</v>
      </c>
      <c r="P8">
        <v>7.0238750000000003</v>
      </c>
      <c r="Q8">
        <v>0</v>
      </c>
      <c r="R8">
        <v>0</v>
      </c>
      <c r="S8" s="1">
        <f t="shared" si="0"/>
        <v>0.21602000000000071</v>
      </c>
      <c r="T8" s="2">
        <f t="shared" si="1"/>
        <v>21.602000000000071</v>
      </c>
      <c r="V8" t="s">
        <v>26</v>
      </c>
      <c r="W8">
        <v>8.3000000000000004E-2</v>
      </c>
    </row>
    <row r="9" spans="1:24" x14ac:dyDescent="0.2">
      <c r="A9" t="s">
        <v>204</v>
      </c>
      <c r="D9">
        <v>9.0025839999999996E-2</v>
      </c>
      <c r="E9">
        <v>5.6534753000000002</v>
      </c>
      <c r="L9" t="s">
        <v>204</v>
      </c>
      <c r="M9">
        <v>5.5629999999999997</v>
      </c>
      <c r="N9">
        <v>0</v>
      </c>
      <c r="O9">
        <v>9.0025839999999996E-2</v>
      </c>
      <c r="P9">
        <v>5.6534753000000002</v>
      </c>
      <c r="Q9">
        <v>0</v>
      </c>
      <c r="R9">
        <v>0</v>
      </c>
      <c r="S9" s="1">
        <f t="shared" si="0"/>
        <v>0.16039000000000073</v>
      </c>
      <c r="T9" s="2">
        <f t="shared" si="1"/>
        <v>16.039000000000073</v>
      </c>
      <c r="V9" t="s">
        <v>28</v>
      </c>
      <c r="W9">
        <f>W8/60</f>
        <v>1.3833333333333334E-3</v>
      </c>
    </row>
    <row r="10" spans="1:24" x14ac:dyDescent="0.2">
      <c r="A10" t="s">
        <v>205</v>
      </c>
      <c r="D10">
        <v>5.3787503000000001</v>
      </c>
      <c r="E10">
        <v>7.6688799999999997</v>
      </c>
      <c r="L10" t="s">
        <v>205</v>
      </c>
      <c r="M10">
        <v>2.29</v>
      </c>
      <c r="N10">
        <v>0</v>
      </c>
      <c r="O10">
        <v>5.3787503000000001</v>
      </c>
      <c r="P10">
        <v>7.6688799999999997</v>
      </c>
      <c r="Q10">
        <v>0</v>
      </c>
      <c r="R10">
        <v>0</v>
      </c>
      <c r="S10" s="1">
        <f t="shared" si="0"/>
        <v>0.13749000000000072</v>
      </c>
      <c r="T10" s="2">
        <f t="shared" si="1"/>
        <v>13.749000000000073</v>
      </c>
    </row>
    <row r="11" spans="1:24" x14ac:dyDescent="0.2">
      <c r="A11" t="s">
        <v>206</v>
      </c>
      <c r="D11">
        <v>15.540276</v>
      </c>
      <c r="E11">
        <v>7.0337399999999999</v>
      </c>
      <c r="L11" t="s">
        <v>206</v>
      </c>
      <c r="M11">
        <v>0</v>
      </c>
      <c r="N11">
        <v>0.251</v>
      </c>
      <c r="O11">
        <v>15.540276</v>
      </c>
      <c r="P11">
        <v>7.0337399999999999</v>
      </c>
      <c r="Q11">
        <v>8.2555360000000011</v>
      </c>
      <c r="R11">
        <v>0</v>
      </c>
      <c r="S11" s="1">
        <f t="shared" si="0"/>
        <v>0.14000000000000073</v>
      </c>
      <c r="T11" s="2">
        <f t="shared" si="1"/>
        <v>14.000000000000073</v>
      </c>
    </row>
    <row r="12" spans="1:24" x14ac:dyDescent="0.2">
      <c r="A12" t="s">
        <v>207</v>
      </c>
      <c r="D12">
        <v>27.586124000000002</v>
      </c>
      <c r="E12">
        <v>6.3986000000000001</v>
      </c>
      <c r="L12" t="s">
        <v>207</v>
      </c>
      <c r="M12">
        <v>0</v>
      </c>
      <c r="N12">
        <v>0</v>
      </c>
      <c r="O12">
        <v>27.586124000000002</v>
      </c>
      <c r="P12">
        <v>6.3986000000000001</v>
      </c>
      <c r="Q12">
        <v>21.187524</v>
      </c>
      <c r="R12">
        <v>0</v>
      </c>
      <c r="S12" s="1">
        <f t="shared" si="0"/>
        <v>0.14000000000000073</v>
      </c>
      <c r="T12" s="2">
        <f t="shared" si="1"/>
        <v>14.000000000000073</v>
      </c>
    </row>
    <row r="13" spans="1:24" x14ac:dyDescent="0.2">
      <c r="A13" t="s">
        <v>208</v>
      </c>
      <c r="D13">
        <v>35.085552</v>
      </c>
      <c r="E13">
        <v>7.5269503999999996</v>
      </c>
      <c r="L13" t="s">
        <v>208</v>
      </c>
      <c r="M13">
        <v>0</v>
      </c>
      <c r="N13">
        <v>27.559000000000001</v>
      </c>
      <c r="O13">
        <v>35.085552</v>
      </c>
      <c r="P13">
        <v>7.5269503999999996</v>
      </c>
      <c r="Q13">
        <v>0</v>
      </c>
      <c r="R13">
        <v>0</v>
      </c>
      <c r="S13" s="1">
        <f t="shared" si="0"/>
        <v>0.41559000000000074</v>
      </c>
      <c r="T13" s="2">
        <f t="shared" si="1"/>
        <v>41.559000000000076</v>
      </c>
    </row>
    <row r="14" spans="1:24" x14ac:dyDescent="0.2">
      <c r="A14" t="s">
        <v>209</v>
      </c>
      <c r="D14">
        <v>40.078021999999997</v>
      </c>
      <c r="E14">
        <v>9.0297990000000006</v>
      </c>
      <c r="L14" t="s">
        <v>209</v>
      </c>
      <c r="M14">
        <v>0</v>
      </c>
      <c r="N14">
        <v>0</v>
      </c>
      <c r="O14">
        <v>40.078021999999997</v>
      </c>
      <c r="P14">
        <v>9.0297990000000006</v>
      </c>
      <c r="Q14">
        <v>31.048223</v>
      </c>
      <c r="R14">
        <v>0</v>
      </c>
      <c r="S14" s="1">
        <f t="shared" si="0"/>
        <v>0.41559000000000074</v>
      </c>
      <c r="T14" s="2">
        <f t="shared" si="1"/>
        <v>41.559000000000076</v>
      </c>
    </row>
    <row r="15" spans="1:24" x14ac:dyDescent="0.2">
      <c r="A15" t="s">
        <v>210</v>
      </c>
      <c r="D15">
        <v>42.744297000000003</v>
      </c>
      <c r="E15">
        <v>11.819324999999999</v>
      </c>
      <c r="L15" t="s">
        <v>210</v>
      </c>
      <c r="M15">
        <v>0</v>
      </c>
      <c r="N15">
        <v>0</v>
      </c>
      <c r="O15">
        <v>42.744297000000003</v>
      </c>
      <c r="P15">
        <v>11.819324999999999</v>
      </c>
      <c r="Q15">
        <v>30.924972</v>
      </c>
      <c r="R15">
        <v>0</v>
      </c>
      <c r="S15" s="1">
        <f t="shared" si="0"/>
        <v>0.41559000000000074</v>
      </c>
      <c r="T15" s="2">
        <f t="shared" si="1"/>
        <v>41.559000000000076</v>
      </c>
    </row>
    <row r="16" spans="1:24" x14ac:dyDescent="0.2">
      <c r="A16" t="s">
        <v>211</v>
      </c>
      <c r="D16">
        <v>44.562545999999998</v>
      </c>
      <c r="E16">
        <v>9.8006510000000002</v>
      </c>
      <c r="L16" t="s">
        <v>211</v>
      </c>
      <c r="M16">
        <v>0</v>
      </c>
      <c r="N16">
        <v>34.762</v>
      </c>
      <c r="O16">
        <v>44.562545999999998</v>
      </c>
      <c r="P16">
        <v>9.8006510000000002</v>
      </c>
      <c r="Q16">
        <v>0</v>
      </c>
      <c r="R16">
        <v>0</v>
      </c>
      <c r="S16" s="1">
        <f t="shared" si="0"/>
        <v>0.76321000000000083</v>
      </c>
      <c r="T16" s="2">
        <f t="shared" si="1"/>
        <v>76.321000000000083</v>
      </c>
    </row>
    <row r="17" spans="1:20" x14ac:dyDescent="0.2">
      <c r="A17" t="s">
        <v>212</v>
      </c>
      <c r="D17">
        <v>42.353149999999999</v>
      </c>
      <c r="E17">
        <v>9.9569500000000009</v>
      </c>
      <c r="L17" t="s">
        <v>212</v>
      </c>
      <c r="M17">
        <v>0</v>
      </c>
      <c r="N17">
        <v>0</v>
      </c>
      <c r="O17">
        <v>42.353149999999999</v>
      </c>
      <c r="P17">
        <v>9.9569500000000009</v>
      </c>
      <c r="Q17">
        <v>32.3962</v>
      </c>
      <c r="R17">
        <v>0</v>
      </c>
      <c r="S17" s="1">
        <f t="shared" si="0"/>
        <v>0.76321000000000083</v>
      </c>
      <c r="T17" s="2">
        <f t="shared" si="1"/>
        <v>76.321000000000083</v>
      </c>
    </row>
    <row r="18" spans="1:20" x14ac:dyDescent="0.2">
      <c r="A18" t="s">
        <v>213</v>
      </c>
      <c r="D18">
        <v>36.252228000000002</v>
      </c>
      <c r="E18">
        <v>12.5732</v>
      </c>
      <c r="L18" t="s">
        <v>213</v>
      </c>
      <c r="M18">
        <v>0</v>
      </c>
      <c r="N18">
        <v>23.678999999999998</v>
      </c>
      <c r="O18">
        <v>36.252228000000002</v>
      </c>
      <c r="P18">
        <v>12.5732</v>
      </c>
      <c r="Q18">
        <v>0</v>
      </c>
      <c r="R18">
        <v>0</v>
      </c>
      <c r="S18" s="1">
        <f t="shared" si="0"/>
        <v>1.0000000000000009</v>
      </c>
      <c r="T18" s="2">
        <f t="shared" si="1"/>
        <v>100.00000000000009</v>
      </c>
    </row>
    <row r="19" spans="1:20" x14ac:dyDescent="0.2">
      <c r="A19" t="s">
        <v>214</v>
      </c>
      <c r="D19">
        <v>26.847052000000001</v>
      </c>
      <c r="E19">
        <v>12.141999999999999</v>
      </c>
      <c r="L19" t="s">
        <v>214</v>
      </c>
      <c r="M19">
        <v>0</v>
      </c>
      <c r="N19">
        <v>0</v>
      </c>
      <c r="O19">
        <v>26.847052000000001</v>
      </c>
      <c r="P19">
        <v>12.141999999999999</v>
      </c>
      <c r="Q19">
        <v>14.705052</v>
      </c>
      <c r="R19">
        <v>0</v>
      </c>
      <c r="S19" s="1">
        <f t="shared" si="0"/>
        <v>1.0000000000000009</v>
      </c>
      <c r="T19" s="2">
        <f t="shared" si="1"/>
        <v>100.00000000000009</v>
      </c>
    </row>
    <row r="20" spans="1:20" x14ac:dyDescent="0.2">
      <c r="A20" t="s">
        <v>215</v>
      </c>
      <c r="D20">
        <v>13.704924999999999</v>
      </c>
      <c r="E20">
        <v>12.940125</v>
      </c>
      <c r="L20" t="s">
        <v>215</v>
      </c>
      <c r="M20">
        <v>0</v>
      </c>
      <c r="N20">
        <v>0</v>
      </c>
      <c r="O20">
        <v>13.704924999999999</v>
      </c>
      <c r="P20">
        <v>12.940125</v>
      </c>
      <c r="Q20">
        <v>0.76479999999999926</v>
      </c>
      <c r="R20">
        <v>0</v>
      </c>
      <c r="S20" s="1">
        <f t="shared" si="0"/>
        <v>1.0000000000000009</v>
      </c>
      <c r="T20" s="2">
        <f t="shared" si="1"/>
        <v>100.00000000000009</v>
      </c>
    </row>
    <row r="21" spans="1:20" x14ac:dyDescent="0.2">
      <c r="A21" t="s">
        <v>216</v>
      </c>
      <c r="D21">
        <v>3.2056996999999998</v>
      </c>
      <c r="E21">
        <v>7.2873999999999999</v>
      </c>
      <c r="L21" t="s">
        <v>216</v>
      </c>
      <c r="M21">
        <v>4.0819999999999999</v>
      </c>
      <c r="N21">
        <v>0</v>
      </c>
      <c r="O21">
        <v>3.2056996999999998</v>
      </c>
      <c r="P21">
        <v>7.2873999999999999</v>
      </c>
      <c r="Q21">
        <v>0</v>
      </c>
      <c r="R21">
        <v>0</v>
      </c>
      <c r="S21" s="1">
        <f t="shared" si="0"/>
        <v>0.95918000000000092</v>
      </c>
      <c r="T21" s="2">
        <f t="shared" si="1"/>
        <v>95.918000000000092</v>
      </c>
    </row>
    <row r="22" spans="1:20" x14ac:dyDescent="0.2">
      <c r="A22" t="s">
        <v>217</v>
      </c>
      <c r="D22">
        <v>0.72577480000000005</v>
      </c>
      <c r="E22">
        <v>9.1579669999999993</v>
      </c>
      <c r="L22" t="s">
        <v>217</v>
      </c>
      <c r="M22">
        <v>8.4320000000000004</v>
      </c>
      <c r="N22">
        <v>0</v>
      </c>
      <c r="O22">
        <v>0.72577480000000005</v>
      </c>
      <c r="P22">
        <v>9.1579669999999993</v>
      </c>
      <c r="Q22">
        <v>0</v>
      </c>
      <c r="R22">
        <v>0</v>
      </c>
      <c r="S22" s="1">
        <f t="shared" si="0"/>
        <v>0.87486000000000086</v>
      </c>
      <c r="T22" s="2">
        <f t="shared" si="1"/>
        <v>87.486000000000089</v>
      </c>
    </row>
    <row r="23" spans="1:20" x14ac:dyDescent="0.2">
      <c r="A23" t="s">
        <v>218</v>
      </c>
      <c r="D23">
        <v>0</v>
      </c>
      <c r="E23">
        <v>12.566625</v>
      </c>
      <c r="L23" t="s">
        <v>218</v>
      </c>
      <c r="M23">
        <v>12.567</v>
      </c>
      <c r="N23">
        <v>0</v>
      </c>
      <c r="O23">
        <v>0</v>
      </c>
      <c r="P23">
        <v>12.566625</v>
      </c>
      <c r="Q23">
        <v>0</v>
      </c>
      <c r="R23">
        <v>0</v>
      </c>
      <c r="S23" s="1">
        <f t="shared" si="0"/>
        <v>0.74919000000000091</v>
      </c>
      <c r="T23" s="2">
        <f t="shared" si="1"/>
        <v>74.919000000000096</v>
      </c>
    </row>
    <row r="24" spans="1:20" x14ac:dyDescent="0.2">
      <c r="A24" t="s">
        <v>219</v>
      </c>
      <c r="D24">
        <v>0</v>
      </c>
      <c r="E24">
        <v>12.419600000000001</v>
      </c>
      <c r="L24" t="s">
        <v>219</v>
      </c>
      <c r="M24">
        <v>12.42</v>
      </c>
      <c r="N24">
        <v>0</v>
      </c>
      <c r="O24">
        <v>0</v>
      </c>
      <c r="P24">
        <v>12.419600000000001</v>
      </c>
      <c r="Q24">
        <v>0</v>
      </c>
      <c r="R24">
        <v>0</v>
      </c>
      <c r="S24" s="1">
        <f t="shared" si="0"/>
        <v>0.62499000000000093</v>
      </c>
      <c r="T24" s="2">
        <f t="shared" si="1"/>
        <v>62.499000000000095</v>
      </c>
    </row>
    <row r="25" spans="1:20" x14ac:dyDescent="0.2">
      <c r="A25" t="s">
        <v>220</v>
      </c>
      <c r="D25">
        <v>0</v>
      </c>
      <c r="E25">
        <v>10.655832999999999</v>
      </c>
      <c r="L25" t="s">
        <v>220</v>
      </c>
      <c r="M25">
        <v>10.656000000000001</v>
      </c>
      <c r="N25">
        <v>0</v>
      </c>
      <c r="O25">
        <v>0</v>
      </c>
      <c r="P25">
        <v>10.655832999999999</v>
      </c>
      <c r="Q25">
        <v>0</v>
      </c>
      <c r="R25">
        <v>0</v>
      </c>
      <c r="S25" s="1">
        <f t="shared" si="0"/>
        <v>0.51843000000000095</v>
      </c>
      <c r="T25" s="2">
        <f t="shared" si="1"/>
        <v>51.843000000000096</v>
      </c>
    </row>
    <row r="26" spans="1:20" x14ac:dyDescent="0.2">
      <c r="A26" t="s">
        <v>221</v>
      </c>
      <c r="D26">
        <v>0</v>
      </c>
      <c r="E26">
        <v>12.378066</v>
      </c>
      <c r="L26" t="s">
        <v>221</v>
      </c>
      <c r="M26">
        <v>12.378</v>
      </c>
      <c r="N26">
        <v>0</v>
      </c>
      <c r="O26">
        <v>0</v>
      </c>
      <c r="P26">
        <v>12.378066</v>
      </c>
      <c r="Q26">
        <v>0</v>
      </c>
      <c r="R26">
        <v>0</v>
      </c>
      <c r="S26" s="1">
        <f t="shared" si="0"/>
        <v>0.39465000000000094</v>
      </c>
      <c r="T26" s="2">
        <f t="shared" si="1"/>
        <v>39.465000000000096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X26"/>
  <sheetViews>
    <sheetView workbookViewId="0"/>
  </sheetViews>
  <sheetFormatPr baseColWidth="10" defaultColWidth="8.83203125" defaultRowHeight="15" x14ac:dyDescent="0.2"/>
  <sheetData>
    <row r="1" spans="1:24" x14ac:dyDescent="0.2">
      <c r="A1" t="s">
        <v>0</v>
      </c>
      <c r="D1" t="s">
        <v>1</v>
      </c>
      <c r="L1" t="s">
        <v>2</v>
      </c>
      <c r="R1" t="s">
        <v>3</v>
      </c>
      <c r="S1" s="1">
        <v>0.39465000000000072</v>
      </c>
      <c r="T1">
        <f>S1*V1</f>
        <v>39.465000000000074</v>
      </c>
      <c r="U1" t="s">
        <v>4</v>
      </c>
      <c r="V1">
        <v>100</v>
      </c>
      <c r="W1" t="s">
        <v>5</v>
      </c>
      <c r="X1" s="1">
        <v>0.1</v>
      </c>
    </row>
    <row r="2" spans="1:24" x14ac:dyDescent="0.2">
      <c r="A2" t="s">
        <v>6</v>
      </c>
      <c r="B2" t="s">
        <v>7</v>
      </c>
      <c r="C2" t="s">
        <v>8</v>
      </c>
      <c r="D2" t="s">
        <v>9</v>
      </c>
      <c r="E2" t="s">
        <v>10</v>
      </c>
      <c r="F2" t="s">
        <v>11</v>
      </c>
      <c r="G2" t="s">
        <v>12</v>
      </c>
      <c r="H2" t="s">
        <v>13</v>
      </c>
      <c r="I2" t="s">
        <v>14</v>
      </c>
      <c r="L2" t="s">
        <v>6</v>
      </c>
      <c r="M2" t="s">
        <v>7</v>
      </c>
      <c r="N2" t="s">
        <v>8</v>
      </c>
      <c r="O2" t="s">
        <v>9</v>
      </c>
      <c r="P2" t="s">
        <v>10</v>
      </c>
      <c r="Q2" t="s">
        <v>11</v>
      </c>
      <c r="R2" t="s">
        <v>12</v>
      </c>
      <c r="S2" t="s">
        <v>13</v>
      </c>
      <c r="T2" t="s">
        <v>14</v>
      </c>
      <c r="W2" t="s">
        <v>15</v>
      </c>
      <c r="X2" s="1">
        <v>1</v>
      </c>
    </row>
    <row r="3" spans="1:24" x14ac:dyDescent="0.2">
      <c r="A3" t="s">
        <v>222</v>
      </c>
      <c r="D3">
        <v>0</v>
      </c>
      <c r="E3">
        <v>12.331201</v>
      </c>
      <c r="L3" t="s">
        <v>222</v>
      </c>
      <c r="M3">
        <v>12.331</v>
      </c>
      <c r="N3">
        <v>0</v>
      </c>
      <c r="O3">
        <v>0</v>
      </c>
      <c r="P3">
        <v>12.331201</v>
      </c>
      <c r="Q3">
        <v>0</v>
      </c>
      <c r="R3">
        <v>0</v>
      </c>
      <c r="S3" s="1">
        <f t="shared" ref="S3:S26" si="0">T3/V$1</f>
        <v>0.27134000000000075</v>
      </c>
      <c r="T3" s="2">
        <f>T1-M3+N3</f>
        <v>27.134000000000075</v>
      </c>
    </row>
    <row r="4" spans="1:24" x14ac:dyDescent="0.2">
      <c r="A4" t="s">
        <v>223</v>
      </c>
      <c r="D4">
        <v>0</v>
      </c>
      <c r="E4">
        <v>7.1867666000000003</v>
      </c>
      <c r="L4" t="s">
        <v>223</v>
      </c>
      <c r="M4">
        <v>5.6849999999999996</v>
      </c>
      <c r="N4">
        <v>0</v>
      </c>
      <c r="O4">
        <v>0</v>
      </c>
      <c r="P4">
        <v>7.1867666000000003</v>
      </c>
      <c r="Q4">
        <v>0</v>
      </c>
      <c r="R4">
        <v>1.501766600000001</v>
      </c>
      <c r="S4" s="1">
        <f t="shared" si="0"/>
        <v>0.21449000000000076</v>
      </c>
      <c r="T4" s="2">
        <f t="shared" ref="T4:T26" si="1">T3-M4+N4</f>
        <v>21.449000000000076</v>
      </c>
    </row>
    <row r="5" spans="1:24" x14ac:dyDescent="0.2">
      <c r="A5" t="s">
        <v>224</v>
      </c>
      <c r="D5">
        <v>0</v>
      </c>
      <c r="E5">
        <v>7.1092668000000003</v>
      </c>
      <c r="L5" t="s">
        <v>224</v>
      </c>
      <c r="M5">
        <v>0</v>
      </c>
      <c r="N5">
        <v>0</v>
      </c>
      <c r="O5">
        <v>0</v>
      </c>
      <c r="P5">
        <v>7.1092668000000003</v>
      </c>
      <c r="Q5">
        <v>0</v>
      </c>
      <c r="R5">
        <v>7.1092668000000003</v>
      </c>
      <c r="S5" s="1">
        <f t="shared" si="0"/>
        <v>0.21449000000000076</v>
      </c>
      <c r="T5" s="2">
        <f t="shared" si="1"/>
        <v>21.449000000000076</v>
      </c>
    </row>
    <row r="6" spans="1:24" x14ac:dyDescent="0.2">
      <c r="A6" t="s">
        <v>225</v>
      </c>
      <c r="D6">
        <v>0</v>
      </c>
      <c r="E6">
        <v>7.1462000000000003</v>
      </c>
      <c r="L6" t="s">
        <v>225</v>
      </c>
      <c r="M6">
        <v>0</v>
      </c>
      <c r="N6">
        <v>0</v>
      </c>
      <c r="O6">
        <v>0</v>
      </c>
      <c r="P6">
        <v>7.1462000000000003</v>
      </c>
      <c r="Q6">
        <v>0</v>
      </c>
      <c r="R6">
        <v>7.1462000000000003</v>
      </c>
      <c r="S6" s="1">
        <f t="shared" si="0"/>
        <v>0.21449000000000076</v>
      </c>
      <c r="T6" s="2">
        <f t="shared" si="1"/>
        <v>21.449000000000076</v>
      </c>
      <c r="V6" t="s">
        <v>20</v>
      </c>
      <c r="W6" t="s">
        <v>226</v>
      </c>
    </row>
    <row r="7" spans="1:24" x14ac:dyDescent="0.2">
      <c r="A7" t="s">
        <v>227</v>
      </c>
      <c r="D7">
        <v>0</v>
      </c>
      <c r="E7">
        <v>6.2413499999999997</v>
      </c>
      <c r="L7" t="s">
        <v>227</v>
      </c>
      <c r="M7">
        <v>6.2409999999999997</v>
      </c>
      <c r="N7">
        <v>0</v>
      </c>
      <c r="O7">
        <v>0</v>
      </c>
      <c r="P7">
        <v>6.2413499999999997</v>
      </c>
      <c r="Q7">
        <v>0</v>
      </c>
      <c r="R7">
        <v>0</v>
      </c>
      <c r="S7" s="1">
        <f t="shared" si="0"/>
        <v>0.15208000000000077</v>
      </c>
      <c r="T7" s="2">
        <f t="shared" si="1"/>
        <v>15.208000000000077</v>
      </c>
      <c r="V7" t="s">
        <v>23</v>
      </c>
      <c r="W7" t="s">
        <v>24</v>
      </c>
    </row>
    <row r="8" spans="1:24" x14ac:dyDescent="0.2">
      <c r="A8" t="s">
        <v>228</v>
      </c>
      <c r="D8">
        <v>0</v>
      </c>
      <c r="E8">
        <v>5.2079000000000004</v>
      </c>
      <c r="L8" t="s">
        <v>228</v>
      </c>
      <c r="M8">
        <v>5.2080000000000002</v>
      </c>
      <c r="N8">
        <v>0</v>
      </c>
      <c r="O8">
        <v>0</v>
      </c>
      <c r="P8">
        <v>5.2079000000000004</v>
      </c>
      <c r="Q8">
        <v>0</v>
      </c>
      <c r="R8">
        <v>0</v>
      </c>
      <c r="S8" s="1">
        <f t="shared" si="0"/>
        <v>0.10000000000000077</v>
      </c>
      <c r="T8" s="2">
        <f t="shared" si="1"/>
        <v>10.000000000000076</v>
      </c>
      <c r="V8" t="s">
        <v>26</v>
      </c>
      <c r="W8">
        <v>8.2000000000000003E-2</v>
      </c>
    </row>
    <row r="9" spans="1:24" x14ac:dyDescent="0.2">
      <c r="A9" t="s">
        <v>229</v>
      </c>
      <c r="D9">
        <v>0.10730025</v>
      </c>
      <c r="E9">
        <v>6.6807746999999997</v>
      </c>
      <c r="L9" t="s">
        <v>229</v>
      </c>
      <c r="M9">
        <v>0</v>
      </c>
      <c r="N9">
        <v>0</v>
      </c>
      <c r="O9">
        <v>0.10730025</v>
      </c>
      <c r="P9">
        <v>6.6807746999999997</v>
      </c>
      <c r="Q9">
        <v>0</v>
      </c>
      <c r="R9">
        <v>6.57347445</v>
      </c>
      <c r="S9" s="1">
        <f t="shared" si="0"/>
        <v>0.10000000000000077</v>
      </c>
      <c r="T9" s="2">
        <f t="shared" si="1"/>
        <v>10.000000000000076</v>
      </c>
      <c r="V9" t="s">
        <v>28</v>
      </c>
      <c r="W9">
        <f>W8/60</f>
        <v>1.3666666666666666E-3</v>
      </c>
    </row>
    <row r="10" spans="1:24" x14ac:dyDescent="0.2">
      <c r="A10" t="s">
        <v>230</v>
      </c>
      <c r="D10">
        <v>3.8145747000000001</v>
      </c>
      <c r="E10">
        <v>7.1165500000000002</v>
      </c>
      <c r="L10" t="s">
        <v>230</v>
      </c>
      <c r="M10">
        <v>0</v>
      </c>
      <c r="N10">
        <v>0</v>
      </c>
      <c r="O10">
        <v>3.8145747000000001</v>
      </c>
      <c r="P10">
        <v>7.1165500000000002</v>
      </c>
      <c r="Q10">
        <v>0</v>
      </c>
      <c r="R10">
        <v>3.3019753000000001</v>
      </c>
      <c r="S10" s="1">
        <f t="shared" si="0"/>
        <v>0.10000000000000077</v>
      </c>
      <c r="T10" s="2">
        <f t="shared" si="1"/>
        <v>10.000000000000076</v>
      </c>
    </row>
    <row r="11" spans="1:24" x14ac:dyDescent="0.2">
      <c r="A11" t="s">
        <v>231</v>
      </c>
      <c r="D11">
        <v>15.211900999999999</v>
      </c>
      <c r="E11">
        <v>7.3228999999999997</v>
      </c>
      <c r="L11" t="s">
        <v>231</v>
      </c>
      <c r="M11">
        <v>0</v>
      </c>
      <c r="N11">
        <v>7.8890000000000002</v>
      </c>
      <c r="O11">
        <v>15.211900999999999</v>
      </c>
      <c r="P11">
        <v>7.3228999999999997</v>
      </c>
      <c r="Q11">
        <v>0</v>
      </c>
      <c r="R11">
        <v>0</v>
      </c>
      <c r="S11" s="1">
        <f t="shared" si="0"/>
        <v>0.17889000000000077</v>
      </c>
      <c r="T11" s="2">
        <f t="shared" si="1"/>
        <v>17.889000000000078</v>
      </c>
    </row>
    <row r="12" spans="1:24" x14ac:dyDescent="0.2">
      <c r="A12" t="s">
        <v>232</v>
      </c>
      <c r="D12">
        <v>26.938475</v>
      </c>
      <c r="E12">
        <v>7.6822004000000002</v>
      </c>
      <c r="L12" t="s">
        <v>232</v>
      </c>
      <c r="M12">
        <v>0</v>
      </c>
      <c r="N12">
        <v>19.256</v>
      </c>
      <c r="O12">
        <v>26.938475</v>
      </c>
      <c r="P12">
        <v>7.6822004000000002</v>
      </c>
      <c r="Q12">
        <v>0</v>
      </c>
      <c r="R12">
        <v>0</v>
      </c>
      <c r="S12" s="1">
        <f t="shared" si="0"/>
        <v>0.37145000000000084</v>
      </c>
      <c r="T12" s="2">
        <f t="shared" si="1"/>
        <v>37.145000000000081</v>
      </c>
    </row>
    <row r="13" spans="1:24" x14ac:dyDescent="0.2">
      <c r="A13" t="s">
        <v>233</v>
      </c>
      <c r="D13">
        <v>35.166049999999998</v>
      </c>
      <c r="E13">
        <v>6.3382250000000004</v>
      </c>
      <c r="L13" t="s">
        <v>233</v>
      </c>
      <c r="M13">
        <v>0</v>
      </c>
      <c r="N13">
        <v>9.1059999999999999</v>
      </c>
      <c r="O13">
        <v>35.166049999999998</v>
      </c>
      <c r="P13">
        <v>6.3382250000000004</v>
      </c>
      <c r="Q13">
        <v>19.721824999999999</v>
      </c>
      <c r="R13">
        <v>0</v>
      </c>
      <c r="S13" s="1">
        <f t="shared" si="0"/>
        <v>0.46251000000000081</v>
      </c>
      <c r="T13" s="2">
        <f t="shared" si="1"/>
        <v>46.251000000000083</v>
      </c>
    </row>
    <row r="14" spans="1:24" x14ac:dyDescent="0.2">
      <c r="A14" t="s">
        <v>234</v>
      </c>
      <c r="D14">
        <v>40.344900000000003</v>
      </c>
      <c r="E14">
        <v>8.9052670000000003</v>
      </c>
      <c r="L14" t="s">
        <v>234</v>
      </c>
      <c r="M14">
        <v>0</v>
      </c>
      <c r="N14">
        <v>0</v>
      </c>
      <c r="O14">
        <v>40.344900000000003</v>
      </c>
      <c r="P14">
        <v>8.9052670000000003</v>
      </c>
      <c r="Q14">
        <v>31.439633000000001</v>
      </c>
      <c r="R14">
        <v>0</v>
      </c>
      <c r="S14" s="1">
        <f t="shared" si="0"/>
        <v>0.46251000000000081</v>
      </c>
      <c r="T14" s="2">
        <f t="shared" si="1"/>
        <v>46.251000000000083</v>
      </c>
    </row>
    <row r="15" spans="1:24" x14ac:dyDescent="0.2">
      <c r="A15" t="s">
        <v>235</v>
      </c>
      <c r="D15">
        <v>42.457250000000002</v>
      </c>
      <c r="E15">
        <v>11.961451</v>
      </c>
      <c r="L15" t="s">
        <v>235</v>
      </c>
      <c r="M15">
        <v>0</v>
      </c>
      <c r="N15">
        <v>0</v>
      </c>
      <c r="O15">
        <v>42.457250000000002</v>
      </c>
      <c r="P15">
        <v>11.961451</v>
      </c>
      <c r="Q15">
        <v>30.495799000000002</v>
      </c>
      <c r="R15">
        <v>0</v>
      </c>
      <c r="S15" s="1">
        <f t="shared" si="0"/>
        <v>0.46251000000000081</v>
      </c>
      <c r="T15" s="2">
        <f t="shared" si="1"/>
        <v>46.251000000000083</v>
      </c>
    </row>
    <row r="16" spans="1:24" x14ac:dyDescent="0.2">
      <c r="A16" t="s">
        <v>236</v>
      </c>
      <c r="D16">
        <v>44.605229999999999</v>
      </c>
      <c r="E16">
        <v>9.5847999999999995</v>
      </c>
      <c r="L16" t="s">
        <v>236</v>
      </c>
      <c r="M16">
        <v>0</v>
      </c>
      <c r="N16">
        <v>0</v>
      </c>
      <c r="O16">
        <v>44.605229999999999</v>
      </c>
      <c r="P16">
        <v>9.5847999999999995</v>
      </c>
      <c r="Q16">
        <v>35.020429999999998</v>
      </c>
      <c r="R16">
        <v>0</v>
      </c>
      <c r="S16" s="1">
        <f t="shared" si="0"/>
        <v>0.46251000000000081</v>
      </c>
      <c r="T16" s="2">
        <f t="shared" si="1"/>
        <v>46.251000000000083</v>
      </c>
    </row>
    <row r="17" spans="1:20" x14ac:dyDescent="0.2">
      <c r="A17" t="s">
        <v>237</v>
      </c>
      <c r="D17">
        <v>41.921695999999997</v>
      </c>
      <c r="E17">
        <v>12.038733499999999</v>
      </c>
      <c r="L17" t="s">
        <v>237</v>
      </c>
      <c r="M17">
        <v>0</v>
      </c>
      <c r="N17">
        <v>29.882999999999999</v>
      </c>
      <c r="O17">
        <v>41.921695999999997</v>
      </c>
      <c r="P17">
        <v>12.038733499999999</v>
      </c>
      <c r="Q17">
        <v>0</v>
      </c>
      <c r="R17">
        <v>0</v>
      </c>
      <c r="S17" s="1">
        <f t="shared" si="0"/>
        <v>0.7613400000000009</v>
      </c>
      <c r="T17" s="2">
        <f t="shared" si="1"/>
        <v>76.134000000000086</v>
      </c>
    </row>
    <row r="18" spans="1:20" x14ac:dyDescent="0.2">
      <c r="A18" t="s">
        <v>238</v>
      </c>
      <c r="D18">
        <v>36.016800000000003</v>
      </c>
      <c r="E18">
        <v>12.151267000000001</v>
      </c>
      <c r="L18" t="s">
        <v>238</v>
      </c>
      <c r="M18">
        <v>0</v>
      </c>
      <c r="N18">
        <v>23.866</v>
      </c>
      <c r="O18">
        <v>36.016800000000003</v>
      </c>
      <c r="P18">
        <v>12.151267000000001</v>
      </c>
      <c r="Q18">
        <v>0</v>
      </c>
      <c r="R18">
        <v>0</v>
      </c>
      <c r="S18" s="1">
        <f t="shared" si="0"/>
        <v>1.0000000000000009</v>
      </c>
      <c r="T18" s="2">
        <f t="shared" si="1"/>
        <v>100.00000000000009</v>
      </c>
    </row>
    <row r="19" spans="1:20" x14ac:dyDescent="0.2">
      <c r="A19" t="s">
        <v>239</v>
      </c>
      <c r="D19">
        <v>27.03755</v>
      </c>
      <c r="E19">
        <v>11.002026000000001</v>
      </c>
      <c r="L19" t="s">
        <v>239</v>
      </c>
      <c r="M19">
        <v>0</v>
      </c>
      <c r="N19">
        <v>0</v>
      </c>
      <c r="O19">
        <v>27.03755</v>
      </c>
      <c r="P19">
        <v>11.002026000000001</v>
      </c>
      <c r="Q19">
        <v>16.035523999999999</v>
      </c>
      <c r="R19">
        <v>0</v>
      </c>
      <c r="S19" s="1">
        <f t="shared" si="0"/>
        <v>1.0000000000000009</v>
      </c>
      <c r="T19" s="2">
        <f t="shared" si="1"/>
        <v>100.00000000000009</v>
      </c>
    </row>
    <row r="20" spans="1:20" x14ac:dyDescent="0.2">
      <c r="A20" t="s">
        <v>240</v>
      </c>
      <c r="D20">
        <v>13.762625</v>
      </c>
      <c r="E20">
        <v>12.36365</v>
      </c>
      <c r="L20" t="s">
        <v>240</v>
      </c>
      <c r="M20">
        <v>0</v>
      </c>
      <c r="N20">
        <v>0</v>
      </c>
      <c r="O20">
        <v>13.762625</v>
      </c>
      <c r="P20">
        <v>12.36365</v>
      </c>
      <c r="Q20">
        <v>1.3989750000000001</v>
      </c>
      <c r="R20">
        <v>0</v>
      </c>
      <c r="S20" s="1">
        <f t="shared" si="0"/>
        <v>1.0000000000000009</v>
      </c>
      <c r="T20" s="2">
        <f t="shared" si="1"/>
        <v>100.00000000000009</v>
      </c>
    </row>
    <row r="21" spans="1:20" x14ac:dyDescent="0.2">
      <c r="A21" t="s">
        <v>241</v>
      </c>
      <c r="D21">
        <v>4.8508500000000003</v>
      </c>
      <c r="E21">
        <v>12.652200000000001</v>
      </c>
      <c r="L21" t="s">
        <v>241</v>
      </c>
      <c r="M21">
        <v>7.8010000000000002</v>
      </c>
      <c r="N21">
        <v>0</v>
      </c>
      <c r="O21">
        <v>4.8508500000000003</v>
      </c>
      <c r="P21">
        <v>12.652200000000001</v>
      </c>
      <c r="Q21">
        <v>0</v>
      </c>
      <c r="R21">
        <v>0</v>
      </c>
      <c r="S21" s="1">
        <f t="shared" si="0"/>
        <v>0.92199000000000086</v>
      </c>
      <c r="T21" s="2">
        <f t="shared" si="1"/>
        <v>92.199000000000083</v>
      </c>
    </row>
    <row r="22" spans="1:20" x14ac:dyDescent="0.2">
      <c r="A22" t="s">
        <v>242</v>
      </c>
      <c r="D22">
        <v>0.27292526</v>
      </c>
      <c r="E22">
        <v>12.198700000000001</v>
      </c>
      <c r="L22" t="s">
        <v>242</v>
      </c>
      <c r="M22">
        <v>11.926</v>
      </c>
      <c r="N22">
        <v>0</v>
      </c>
      <c r="O22">
        <v>0.27292526</v>
      </c>
      <c r="P22">
        <v>12.198700000000001</v>
      </c>
      <c r="Q22">
        <v>0</v>
      </c>
      <c r="R22">
        <v>0</v>
      </c>
      <c r="S22" s="1">
        <f t="shared" si="0"/>
        <v>0.80273000000000083</v>
      </c>
      <c r="T22" s="2">
        <f t="shared" si="1"/>
        <v>80.273000000000081</v>
      </c>
    </row>
    <row r="23" spans="1:20" x14ac:dyDescent="0.2">
      <c r="A23" t="s">
        <v>243</v>
      </c>
      <c r="D23">
        <v>0</v>
      </c>
      <c r="E23">
        <v>9.1575659999999992</v>
      </c>
      <c r="L23" t="s">
        <v>243</v>
      </c>
      <c r="M23">
        <v>9.1579999999999995</v>
      </c>
      <c r="N23">
        <v>0</v>
      </c>
      <c r="O23">
        <v>0</v>
      </c>
      <c r="P23">
        <v>9.1575659999999992</v>
      </c>
      <c r="Q23">
        <v>0</v>
      </c>
      <c r="R23">
        <v>0</v>
      </c>
      <c r="S23" s="1">
        <f t="shared" si="0"/>
        <v>0.71115000000000084</v>
      </c>
      <c r="T23" s="2">
        <f t="shared" si="1"/>
        <v>71.11500000000008</v>
      </c>
    </row>
    <row r="24" spans="1:20" x14ac:dyDescent="0.2">
      <c r="A24" t="s">
        <v>244</v>
      </c>
      <c r="D24">
        <v>0</v>
      </c>
      <c r="E24">
        <v>10.304917</v>
      </c>
      <c r="L24" t="s">
        <v>244</v>
      </c>
      <c r="M24">
        <v>10.305</v>
      </c>
      <c r="N24">
        <v>0</v>
      </c>
      <c r="O24">
        <v>0</v>
      </c>
      <c r="P24">
        <v>10.304917</v>
      </c>
      <c r="Q24">
        <v>0</v>
      </c>
      <c r="R24">
        <v>0</v>
      </c>
      <c r="S24" s="1">
        <f t="shared" si="0"/>
        <v>0.60810000000000075</v>
      </c>
      <c r="T24" s="2">
        <f t="shared" si="1"/>
        <v>60.81000000000008</v>
      </c>
    </row>
    <row r="25" spans="1:20" x14ac:dyDescent="0.2">
      <c r="A25" t="s">
        <v>245</v>
      </c>
      <c r="D25">
        <v>0</v>
      </c>
      <c r="E25">
        <v>11.311384</v>
      </c>
      <c r="L25" t="s">
        <v>245</v>
      </c>
      <c r="M25">
        <v>11.311</v>
      </c>
      <c r="N25">
        <v>0</v>
      </c>
      <c r="O25">
        <v>0</v>
      </c>
      <c r="P25">
        <v>11.311384</v>
      </c>
      <c r="Q25">
        <v>0</v>
      </c>
      <c r="R25">
        <v>0</v>
      </c>
      <c r="S25" s="1">
        <f t="shared" si="0"/>
        <v>0.49499000000000082</v>
      </c>
      <c r="T25" s="2">
        <f t="shared" si="1"/>
        <v>49.49900000000008</v>
      </c>
    </row>
    <row r="26" spans="1:20" x14ac:dyDescent="0.2">
      <c r="A26" t="s">
        <v>246</v>
      </c>
      <c r="D26">
        <v>0</v>
      </c>
      <c r="E26">
        <v>12.317849000000001</v>
      </c>
      <c r="L26" t="s">
        <v>246</v>
      </c>
      <c r="M26">
        <v>12.318</v>
      </c>
      <c r="N26">
        <v>0</v>
      </c>
      <c r="O26">
        <v>0</v>
      </c>
      <c r="P26">
        <v>12.317849000000001</v>
      </c>
      <c r="Q26">
        <v>0</v>
      </c>
      <c r="R26">
        <v>0</v>
      </c>
      <c r="S26" s="1">
        <f t="shared" si="0"/>
        <v>0.37181000000000081</v>
      </c>
      <c r="T26" s="2">
        <f t="shared" si="1"/>
        <v>37.181000000000083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X26"/>
  <sheetViews>
    <sheetView workbookViewId="0"/>
  </sheetViews>
  <sheetFormatPr baseColWidth="10" defaultColWidth="8.83203125" defaultRowHeight="15" x14ac:dyDescent="0.2"/>
  <cols>
    <col min="12" max="12" width="19.5" customWidth="1"/>
  </cols>
  <sheetData>
    <row r="1" spans="1:24" x14ac:dyDescent="0.2">
      <c r="A1" t="s">
        <v>0</v>
      </c>
      <c r="D1" t="s">
        <v>1</v>
      </c>
      <c r="L1" t="s">
        <v>2</v>
      </c>
      <c r="R1" t="s">
        <v>3</v>
      </c>
      <c r="S1" s="1">
        <v>0.37181000000000047</v>
      </c>
      <c r="T1">
        <f>S1*V1</f>
        <v>37.181000000000047</v>
      </c>
      <c r="U1" t="s">
        <v>4</v>
      </c>
      <c r="V1">
        <v>100</v>
      </c>
      <c r="W1" t="s">
        <v>5</v>
      </c>
      <c r="X1" s="1">
        <v>0.1</v>
      </c>
    </row>
    <row r="2" spans="1:24" x14ac:dyDescent="0.2">
      <c r="A2" t="s">
        <v>6</v>
      </c>
      <c r="B2" t="s">
        <v>7</v>
      </c>
      <c r="C2" t="s">
        <v>8</v>
      </c>
      <c r="D2" t="s">
        <v>9</v>
      </c>
      <c r="E2" t="s">
        <v>10</v>
      </c>
      <c r="F2" t="s">
        <v>11</v>
      </c>
      <c r="G2" t="s">
        <v>12</v>
      </c>
      <c r="H2" t="s">
        <v>13</v>
      </c>
      <c r="I2" t="s">
        <v>14</v>
      </c>
      <c r="L2" t="s">
        <v>6</v>
      </c>
      <c r="M2" t="s">
        <v>7</v>
      </c>
      <c r="N2" t="s">
        <v>8</v>
      </c>
      <c r="O2" t="s">
        <v>9</v>
      </c>
      <c r="P2" t="s">
        <v>10</v>
      </c>
      <c r="Q2" t="s">
        <v>11</v>
      </c>
      <c r="R2" t="s">
        <v>12</v>
      </c>
      <c r="S2" t="s">
        <v>13</v>
      </c>
      <c r="T2" t="s">
        <v>14</v>
      </c>
      <c r="W2" t="s">
        <v>15</v>
      </c>
      <c r="X2" s="1">
        <v>1</v>
      </c>
    </row>
    <row r="3" spans="1:24" x14ac:dyDescent="0.2">
      <c r="A3" t="s">
        <v>247</v>
      </c>
      <c r="D3">
        <v>0</v>
      </c>
      <c r="E3">
        <v>9.6132500000000007</v>
      </c>
      <c r="L3" t="s">
        <v>247</v>
      </c>
      <c r="M3">
        <v>6.5090000000000003</v>
      </c>
      <c r="N3">
        <v>0</v>
      </c>
      <c r="O3">
        <v>0</v>
      </c>
      <c r="P3">
        <v>9.6132500000000007</v>
      </c>
      <c r="Q3">
        <v>0</v>
      </c>
      <c r="R3">
        <v>3.10425</v>
      </c>
      <c r="S3" s="1">
        <f t="shared" ref="S3:S26" si="0">T3/V$1</f>
        <v>0.30672000000000049</v>
      </c>
      <c r="T3" s="2">
        <f>T1-M3+N3</f>
        <v>30.672000000000047</v>
      </c>
    </row>
    <row r="4" spans="1:24" x14ac:dyDescent="0.2">
      <c r="A4" t="s">
        <v>248</v>
      </c>
      <c r="D4">
        <v>0</v>
      </c>
      <c r="E4">
        <v>10.842874999999999</v>
      </c>
      <c r="L4" t="s">
        <v>248</v>
      </c>
      <c r="M4">
        <v>0</v>
      </c>
      <c r="N4">
        <v>0</v>
      </c>
      <c r="O4">
        <v>0</v>
      </c>
      <c r="P4">
        <v>10.842874999999999</v>
      </c>
      <c r="Q4">
        <v>0</v>
      </c>
      <c r="R4">
        <v>10.842874999999999</v>
      </c>
      <c r="S4" s="1">
        <f t="shared" si="0"/>
        <v>0.30672000000000049</v>
      </c>
      <c r="T4" s="2">
        <f t="shared" ref="T4:T26" si="1">T3-M4+N4</f>
        <v>30.672000000000047</v>
      </c>
    </row>
    <row r="5" spans="1:24" x14ac:dyDescent="0.2">
      <c r="A5" t="s">
        <v>249</v>
      </c>
      <c r="D5">
        <v>0</v>
      </c>
      <c r="E5">
        <v>6.7949000000000002</v>
      </c>
      <c r="L5" t="s">
        <v>249</v>
      </c>
      <c r="M5">
        <v>6.7949999999999999</v>
      </c>
      <c r="N5">
        <v>0</v>
      </c>
      <c r="O5">
        <v>0</v>
      </c>
      <c r="P5">
        <v>6.7949000000000002</v>
      </c>
      <c r="Q5">
        <v>0</v>
      </c>
      <c r="R5">
        <v>0</v>
      </c>
      <c r="S5" s="1">
        <f t="shared" si="0"/>
        <v>0.23877000000000045</v>
      </c>
      <c r="T5" s="2">
        <f t="shared" si="1"/>
        <v>23.877000000000045</v>
      </c>
    </row>
    <row r="6" spans="1:24" x14ac:dyDescent="0.2">
      <c r="A6" t="s">
        <v>250</v>
      </c>
      <c r="D6">
        <v>0</v>
      </c>
      <c r="E6">
        <v>6.9071499999999997</v>
      </c>
      <c r="L6" t="s">
        <v>250</v>
      </c>
      <c r="M6">
        <v>6.907</v>
      </c>
      <c r="N6">
        <v>0</v>
      </c>
      <c r="O6">
        <v>0</v>
      </c>
      <c r="P6">
        <v>6.9071499999999997</v>
      </c>
      <c r="Q6">
        <v>0</v>
      </c>
      <c r="R6">
        <v>0</v>
      </c>
      <c r="S6" s="1">
        <f t="shared" si="0"/>
        <v>0.16970000000000046</v>
      </c>
      <c r="T6" s="2">
        <f t="shared" si="1"/>
        <v>16.970000000000045</v>
      </c>
      <c r="V6" t="s">
        <v>20</v>
      </c>
      <c r="W6" t="s">
        <v>251</v>
      </c>
    </row>
    <row r="7" spans="1:24" x14ac:dyDescent="0.2">
      <c r="A7" t="s">
        <v>252</v>
      </c>
      <c r="D7">
        <v>0</v>
      </c>
      <c r="E7">
        <v>7.0194000000000001</v>
      </c>
      <c r="L7" t="s">
        <v>252</v>
      </c>
      <c r="M7">
        <v>0</v>
      </c>
      <c r="N7">
        <v>0</v>
      </c>
      <c r="O7">
        <v>0</v>
      </c>
      <c r="P7">
        <v>7.0194000000000001</v>
      </c>
      <c r="Q7">
        <v>0</v>
      </c>
      <c r="R7">
        <v>7.0194000000000001</v>
      </c>
      <c r="S7" s="1">
        <f t="shared" si="0"/>
        <v>0.16970000000000046</v>
      </c>
      <c r="T7" s="2">
        <f t="shared" si="1"/>
        <v>16.970000000000045</v>
      </c>
      <c r="V7" t="s">
        <v>23</v>
      </c>
      <c r="W7" t="s">
        <v>253</v>
      </c>
    </row>
    <row r="8" spans="1:24" x14ac:dyDescent="0.2">
      <c r="A8" t="s">
        <v>254</v>
      </c>
      <c r="D8">
        <v>0</v>
      </c>
      <c r="E8">
        <v>6.9133500000000003</v>
      </c>
      <c r="L8" t="s">
        <v>254</v>
      </c>
      <c r="M8">
        <v>0</v>
      </c>
      <c r="N8">
        <v>0</v>
      </c>
      <c r="O8">
        <v>0</v>
      </c>
      <c r="P8">
        <v>6.9133500000000003</v>
      </c>
      <c r="Q8">
        <v>0</v>
      </c>
      <c r="R8">
        <v>6.9133500000000003</v>
      </c>
      <c r="S8" s="1">
        <f t="shared" si="0"/>
        <v>0.16970000000000046</v>
      </c>
      <c r="T8" s="2">
        <f t="shared" si="1"/>
        <v>16.970000000000045</v>
      </c>
      <c r="V8" t="s">
        <v>26</v>
      </c>
      <c r="W8">
        <v>8.1000000000000003E-2</v>
      </c>
    </row>
    <row r="9" spans="1:24" x14ac:dyDescent="0.2">
      <c r="A9" t="s">
        <v>255</v>
      </c>
      <c r="D9">
        <v>7.3149870000000006E-2</v>
      </c>
      <c r="E9">
        <v>7.0429000000000004</v>
      </c>
      <c r="L9" t="s">
        <v>255</v>
      </c>
      <c r="M9">
        <v>6.97</v>
      </c>
      <c r="N9">
        <v>0</v>
      </c>
      <c r="O9">
        <v>7.3149870000000006E-2</v>
      </c>
      <c r="P9">
        <v>7.0429000000000004</v>
      </c>
      <c r="Q9">
        <v>0</v>
      </c>
      <c r="R9">
        <v>0</v>
      </c>
      <c r="S9" s="1">
        <f t="shared" si="0"/>
        <v>0.10000000000000046</v>
      </c>
      <c r="T9" s="2">
        <f t="shared" si="1"/>
        <v>10.000000000000046</v>
      </c>
      <c r="V9" t="s">
        <v>28</v>
      </c>
      <c r="W9">
        <f>W8/60</f>
        <v>1.3500000000000001E-3</v>
      </c>
    </row>
    <row r="10" spans="1:24" x14ac:dyDescent="0.2">
      <c r="A10" t="s">
        <v>256</v>
      </c>
      <c r="D10">
        <v>4.2421499999999996</v>
      </c>
      <c r="E10">
        <v>7.1905999999999999</v>
      </c>
      <c r="L10" t="s">
        <v>256</v>
      </c>
      <c r="M10">
        <v>0</v>
      </c>
      <c r="N10">
        <v>0</v>
      </c>
      <c r="O10">
        <v>4.2421499999999996</v>
      </c>
      <c r="P10">
        <v>7.1905999999999999</v>
      </c>
      <c r="Q10">
        <v>0</v>
      </c>
      <c r="R10">
        <v>2.9484499999999998</v>
      </c>
      <c r="S10" s="1">
        <f t="shared" si="0"/>
        <v>0.10000000000000046</v>
      </c>
      <c r="T10" s="2">
        <f t="shared" si="1"/>
        <v>10.000000000000046</v>
      </c>
    </row>
    <row r="11" spans="1:24" x14ac:dyDescent="0.2">
      <c r="A11" t="s">
        <v>257</v>
      </c>
      <c r="D11">
        <v>15.949349</v>
      </c>
      <c r="E11">
        <v>7.0048665999999997</v>
      </c>
      <c r="L11" t="s">
        <v>257</v>
      </c>
      <c r="M11">
        <v>0</v>
      </c>
      <c r="N11">
        <v>8.9440000000000008</v>
      </c>
      <c r="O11">
        <v>15.949349</v>
      </c>
      <c r="P11">
        <v>7.0048665999999997</v>
      </c>
      <c r="Q11">
        <v>0</v>
      </c>
      <c r="R11">
        <v>0</v>
      </c>
      <c r="S11" s="1">
        <f t="shared" si="0"/>
        <v>0.18944000000000044</v>
      </c>
      <c r="T11" s="2">
        <f t="shared" si="1"/>
        <v>18.944000000000045</v>
      </c>
    </row>
    <row r="12" spans="1:24" x14ac:dyDescent="0.2">
      <c r="A12" t="s">
        <v>258</v>
      </c>
      <c r="D12">
        <v>27.368974999999999</v>
      </c>
      <c r="E12">
        <v>6.74</v>
      </c>
      <c r="L12" t="s">
        <v>258</v>
      </c>
      <c r="M12">
        <v>0</v>
      </c>
      <c r="N12">
        <v>20.629000000000001</v>
      </c>
      <c r="O12">
        <v>27.368974999999999</v>
      </c>
      <c r="P12">
        <v>6.74</v>
      </c>
      <c r="Q12">
        <v>0</v>
      </c>
      <c r="R12">
        <v>0</v>
      </c>
      <c r="S12" s="1">
        <f t="shared" si="0"/>
        <v>0.39573000000000053</v>
      </c>
      <c r="T12" s="2">
        <f t="shared" si="1"/>
        <v>39.57300000000005</v>
      </c>
    </row>
    <row r="13" spans="1:24" x14ac:dyDescent="0.2">
      <c r="A13" t="s">
        <v>259</v>
      </c>
      <c r="D13">
        <v>35.253050000000002</v>
      </c>
      <c r="E13">
        <v>8.7905660000000001</v>
      </c>
      <c r="L13" t="s">
        <v>259</v>
      </c>
      <c r="M13">
        <v>0</v>
      </c>
      <c r="N13">
        <v>26.462</v>
      </c>
      <c r="O13">
        <v>35.253050000000002</v>
      </c>
      <c r="P13">
        <v>8.7905660000000001</v>
      </c>
      <c r="Q13">
        <v>0</v>
      </c>
      <c r="R13">
        <v>0</v>
      </c>
      <c r="S13" s="1">
        <f t="shared" si="0"/>
        <v>0.66035000000000055</v>
      </c>
      <c r="T13" s="2">
        <f t="shared" si="1"/>
        <v>66.035000000000053</v>
      </c>
    </row>
    <row r="14" spans="1:24" x14ac:dyDescent="0.2">
      <c r="A14" t="s">
        <v>260</v>
      </c>
      <c r="D14">
        <v>40.118977000000001</v>
      </c>
      <c r="E14">
        <v>12.23075</v>
      </c>
      <c r="L14" t="s">
        <v>260</v>
      </c>
      <c r="M14">
        <v>0</v>
      </c>
      <c r="N14">
        <v>16.358000000000001</v>
      </c>
      <c r="O14">
        <v>40.118977000000001</v>
      </c>
      <c r="P14">
        <v>12.23075</v>
      </c>
      <c r="Q14">
        <v>11.530227</v>
      </c>
      <c r="R14">
        <v>0</v>
      </c>
      <c r="S14" s="1">
        <f t="shared" si="0"/>
        <v>0.82393000000000061</v>
      </c>
      <c r="T14" s="2">
        <f t="shared" si="1"/>
        <v>82.393000000000058</v>
      </c>
    </row>
    <row r="15" spans="1:24" x14ac:dyDescent="0.2">
      <c r="A15" t="s">
        <v>261</v>
      </c>
      <c r="D15">
        <v>42.264274999999998</v>
      </c>
      <c r="E15">
        <v>12.72396</v>
      </c>
      <c r="L15" t="s">
        <v>261</v>
      </c>
      <c r="M15">
        <v>0</v>
      </c>
      <c r="N15">
        <v>0</v>
      </c>
      <c r="O15">
        <v>42.264274999999998</v>
      </c>
      <c r="P15">
        <v>12.72396</v>
      </c>
      <c r="Q15">
        <v>29.540315</v>
      </c>
      <c r="R15">
        <v>0</v>
      </c>
      <c r="S15" s="1">
        <f t="shared" si="0"/>
        <v>0.82393000000000061</v>
      </c>
      <c r="T15" s="2">
        <f t="shared" si="1"/>
        <v>82.393000000000058</v>
      </c>
    </row>
    <row r="16" spans="1:24" x14ac:dyDescent="0.2">
      <c r="A16" t="s">
        <v>262</v>
      </c>
      <c r="D16">
        <v>28.5686</v>
      </c>
      <c r="E16">
        <v>12.033799999999999</v>
      </c>
      <c r="L16" t="s">
        <v>262</v>
      </c>
      <c r="M16">
        <v>0</v>
      </c>
      <c r="N16">
        <v>16.535</v>
      </c>
      <c r="O16">
        <v>28.5686</v>
      </c>
      <c r="P16">
        <v>12.033799999999999</v>
      </c>
      <c r="Q16">
        <v>0</v>
      </c>
      <c r="R16">
        <v>0</v>
      </c>
      <c r="S16" s="1">
        <f t="shared" si="0"/>
        <v>0.98928000000000049</v>
      </c>
      <c r="T16" s="2">
        <f t="shared" si="1"/>
        <v>98.928000000000054</v>
      </c>
    </row>
    <row r="17" spans="1:20" x14ac:dyDescent="0.2">
      <c r="A17" t="s">
        <v>263</v>
      </c>
      <c r="D17">
        <v>39.902349999999998</v>
      </c>
      <c r="E17">
        <v>11.343639</v>
      </c>
      <c r="L17" t="s">
        <v>263</v>
      </c>
      <c r="M17">
        <v>0</v>
      </c>
      <c r="N17">
        <v>0</v>
      </c>
      <c r="O17">
        <v>39.902349999999998</v>
      </c>
      <c r="P17">
        <v>11.343639</v>
      </c>
      <c r="Q17">
        <v>28.558710999999999</v>
      </c>
      <c r="R17">
        <v>0</v>
      </c>
      <c r="S17" s="1">
        <f t="shared" si="0"/>
        <v>0.98928000000000049</v>
      </c>
      <c r="T17" s="2">
        <f t="shared" si="1"/>
        <v>98.928000000000054</v>
      </c>
    </row>
    <row r="18" spans="1:20" x14ac:dyDescent="0.2">
      <c r="A18" t="s">
        <v>264</v>
      </c>
      <c r="D18">
        <v>36.565550000000002</v>
      </c>
      <c r="E18">
        <v>12.3409</v>
      </c>
      <c r="L18" t="s">
        <v>264</v>
      </c>
      <c r="M18">
        <v>0</v>
      </c>
      <c r="N18">
        <v>0</v>
      </c>
      <c r="O18">
        <v>36.565550000000002</v>
      </c>
      <c r="P18">
        <v>12.3409</v>
      </c>
      <c r="Q18">
        <v>24.22465</v>
      </c>
      <c r="R18">
        <v>0</v>
      </c>
      <c r="S18" s="1">
        <f t="shared" si="0"/>
        <v>0.98928000000000049</v>
      </c>
      <c r="T18" s="2">
        <f t="shared" si="1"/>
        <v>98.928000000000054</v>
      </c>
    </row>
    <row r="19" spans="1:20" x14ac:dyDescent="0.2">
      <c r="A19" t="s">
        <v>265</v>
      </c>
      <c r="D19">
        <v>27.083625999999999</v>
      </c>
      <c r="E19">
        <v>12.358725</v>
      </c>
      <c r="L19" t="s">
        <v>265</v>
      </c>
      <c r="M19">
        <v>0</v>
      </c>
      <c r="N19">
        <v>0</v>
      </c>
      <c r="O19">
        <v>27.083625999999999</v>
      </c>
      <c r="P19">
        <v>12.358725</v>
      </c>
      <c r="Q19">
        <v>14.724900999999999</v>
      </c>
      <c r="R19">
        <v>0</v>
      </c>
      <c r="S19" s="1">
        <f t="shared" si="0"/>
        <v>0.98928000000000049</v>
      </c>
      <c r="T19" s="2">
        <f t="shared" si="1"/>
        <v>98.928000000000054</v>
      </c>
    </row>
    <row r="20" spans="1:20" x14ac:dyDescent="0.2">
      <c r="A20" t="s">
        <v>266</v>
      </c>
      <c r="D20">
        <v>13.448225000000001</v>
      </c>
      <c r="E20">
        <v>12.37655</v>
      </c>
      <c r="L20" t="s">
        <v>266</v>
      </c>
      <c r="M20">
        <v>0</v>
      </c>
      <c r="N20">
        <v>1.0720000000000001</v>
      </c>
      <c r="O20">
        <v>13.448225000000001</v>
      </c>
      <c r="P20">
        <v>12.37655</v>
      </c>
      <c r="Q20">
        <v>0</v>
      </c>
      <c r="R20">
        <v>0</v>
      </c>
      <c r="S20" s="1">
        <f t="shared" si="0"/>
        <v>1.0000000000000007</v>
      </c>
      <c r="T20" s="2">
        <f t="shared" si="1"/>
        <v>100.00000000000006</v>
      </c>
    </row>
    <row r="21" spans="1:20" x14ac:dyDescent="0.2">
      <c r="A21" t="s">
        <v>267</v>
      </c>
      <c r="D21">
        <v>3.2567506000000002</v>
      </c>
      <c r="E21">
        <v>8.8957339999999991</v>
      </c>
      <c r="L21" t="s">
        <v>267</v>
      </c>
      <c r="M21">
        <v>5.6390000000000002</v>
      </c>
      <c r="N21">
        <v>0</v>
      </c>
      <c r="O21">
        <v>3.2567506000000002</v>
      </c>
      <c r="P21">
        <v>8.8957339999999991</v>
      </c>
      <c r="Q21">
        <v>0</v>
      </c>
      <c r="R21">
        <v>0</v>
      </c>
      <c r="S21" s="1">
        <f t="shared" si="0"/>
        <v>0.94361000000000061</v>
      </c>
      <c r="T21" s="2">
        <f t="shared" si="1"/>
        <v>94.361000000000061</v>
      </c>
    </row>
    <row r="22" spans="1:20" x14ac:dyDescent="0.2">
      <c r="A22" t="s">
        <v>268</v>
      </c>
      <c r="D22">
        <v>0.19239986000000001</v>
      </c>
      <c r="E22">
        <v>9.9472000000000005</v>
      </c>
      <c r="L22" t="s">
        <v>268</v>
      </c>
      <c r="M22">
        <v>9.7550000000000008</v>
      </c>
      <c r="N22">
        <v>0</v>
      </c>
      <c r="O22">
        <v>0.19239986000000001</v>
      </c>
      <c r="P22">
        <v>9.9472000000000005</v>
      </c>
      <c r="Q22">
        <v>0</v>
      </c>
      <c r="R22">
        <v>0</v>
      </c>
      <c r="S22" s="1">
        <f t="shared" si="0"/>
        <v>0.8460600000000007</v>
      </c>
      <c r="T22" s="2">
        <f t="shared" si="1"/>
        <v>84.606000000000066</v>
      </c>
    </row>
    <row r="23" spans="1:20" x14ac:dyDescent="0.2">
      <c r="A23" t="s">
        <v>269</v>
      </c>
      <c r="D23">
        <v>0</v>
      </c>
      <c r="E23">
        <v>9.0577500000000004</v>
      </c>
      <c r="L23" t="s">
        <v>269</v>
      </c>
      <c r="M23">
        <v>9.0579999999999998</v>
      </c>
      <c r="N23">
        <v>0</v>
      </c>
      <c r="O23">
        <v>0</v>
      </c>
      <c r="P23">
        <v>9.0577500000000004</v>
      </c>
      <c r="Q23">
        <v>0</v>
      </c>
      <c r="R23">
        <v>0</v>
      </c>
      <c r="S23" s="1">
        <f t="shared" si="0"/>
        <v>0.7554800000000006</v>
      </c>
      <c r="T23" s="2">
        <f t="shared" si="1"/>
        <v>75.548000000000059</v>
      </c>
    </row>
    <row r="24" spans="1:20" x14ac:dyDescent="0.2">
      <c r="A24" t="s">
        <v>270</v>
      </c>
      <c r="D24">
        <v>0</v>
      </c>
      <c r="E24">
        <v>8.1217989999999993</v>
      </c>
      <c r="L24" t="s">
        <v>270</v>
      </c>
      <c r="M24">
        <v>8.1219999999999999</v>
      </c>
      <c r="N24">
        <v>0</v>
      </c>
      <c r="O24">
        <v>0</v>
      </c>
      <c r="P24">
        <v>8.1217989999999993</v>
      </c>
      <c r="Q24">
        <v>0</v>
      </c>
      <c r="R24">
        <v>0</v>
      </c>
      <c r="S24" s="1">
        <f t="shared" si="0"/>
        <v>0.67426000000000064</v>
      </c>
      <c r="T24" s="2">
        <f t="shared" si="1"/>
        <v>67.426000000000059</v>
      </c>
    </row>
    <row r="25" spans="1:20" x14ac:dyDescent="0.2">
      <c r="A25" t="s">
        <v>271</v>
      </c>
      <c r="D25">
        <v>0</v>
      </c>
      <c r="E25">
        <v>6.6502004000000001</v>
      </c>
      <c r="L25" t="s">
        <v>271</v>
      </c>
      <c r="M25">
        <v>6.65</v>
      </c>
      <c r="N25">
        <v>0</v>
      </c>
      <c r="O25">
        <v>0</v>
      </c>
      <c r="P25">
        <v>6.6502004000000001</v>
      </c>
      <c r="Q25">
        <v>0</v>
      </c>
      <c r="R25">
        <v>0</v>
      </c>
      <c r="S25" s="1">
        <f t="shared" si="0"/>
        <v>0.60776000000000063</v>
      </c>
      <c r="T25" s="2">
        <f t="shared" si="1"/>
        <v>60.77600000000006</v>
      </c>
    </row>
    <row r="26" spans="1:20" x14ac:dyDescent="0.2">
      <c r="A26" t="s">
        <v>272</v>
      </c>
      <c r="D26">
        <v>0</v>
      </c>
      <c r="E26">
        <v>7.0776000000000003</v>
      </c>
      <c r="L26" t="s">
        <v>272</v>
      </c>
      <c r="M26">
        <v>7.0780000000000003</v>
      </c>
      <c r="N26">
        <v>0</v>
      </c>
      <c r="O26">
        <v>0</v>
      </c>
      <c r="P26">
        <v>7.0776000000000003</v>
      </c>
      <c r="Q26">
        <v>0</v>
      </c>
      <c r="R26">
        <v>0</v>
      </c>
      <c r="S26" s="1">
        <f t="shared" si="0"/>
        <v>0.53698000000000057</v>
      </c>
      <c r="T26" s="2">
        <f t="shared" si="1"/>
        <v>53.698000000000057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X26"/>
  <sheetViews>
    <sheetView workbookViewId="0"/>
  </sheetViews>
  <sheetFormatPr baseColWidth="10" defaultColWidth="8.83203125" defaultRowHeight="15" x14ac:dyDescent="0.2"/>
  <sheetData>
    <row r="1" spans="1:24" x14ac:dyDescent="0.2">
      <c r="A1" t="s">
        <v>0</v>
      </c>
      <c r="D1" t="s">
        <v>1</v>
      </c>
      <c r="L1" t="s">
        <v>2</v>
      </c>
      <c r="R1" t="s">
        <v>3</v>
      </c>
      <c r="S1" s="1">
        <v>0.5369800000000009</v>
      </c>
      <c r="T1">
        <f>S1*V1</f>
        <v>53.698000000000093</v>
      </c>
      <c r="U1" t="s">
        <v>4</v>
      </c>
      <c r="V1">
        <v>100</v>
      </c>
      <c r="W1" t="s">
        <v>5</v>
      </c>
      <c r="X1" s="1">
        <v>0.1</v>
      </c>
    </row>
    <row r="2" spans="1:24" x14ac:dyDescent="0.2">
      <c r="A2" t="s">
        <v>6</v>
      </c>
      <c r="B2" t="s">
        <v>7</v>
      </c>
      <c r="C2" t="s">
        <v>8</v>
      </c>
      <c r="D2" t="s">
        <v>9</v>
      </c>
      <c r="E2" t="s">
        <v>10</v>
      </c>
      <c r="F2" t="s">
        <v>11</v>
      </c>
      <c r="G2" t="s">
        <v>12</v>
      </c>
      <c r="H2" t="s">
        <v>13</v>
      </c>
      <c r="I2" t="s">
        <v>14</v>
      </c>
      <c r="L2" t="s">
        <v>6</v>
      </c>
      <c r="M2" t="s">
        <v>7</v>
      </c>
      <c r="N2" t="s">
        <v>8</v>
      </c>
      <c r="O2" t="s">
        <v>9</v>
      </c>
      <c r="P2" t="s">
        <v>10</v>
      </c>
      <c r="Q2" t="s">
        <v>11</v>
      </c>
      <c r="R2" t="s">
        <v>12</v>
      </c>
      <c r="S2" t="s">
        <v>13</v>
      </c>
      <c r="T2" t="s">
        <v>14</v>
      </c>
      <c r="W2" t="s">
        <v>15</v>
      </c>
      <c r="X2" s="1">
        <v>1</v>
      </c>
    </row>
    <row r="3" spans="1:24" x14ac:dyDescent="0.2">
      <c r="A3" t="s">
        <v>273</v>
      </c>
      <c r="D3">
        <v>0</v>
      </c>
      <c r="E3">
        <v>7.0544250000000002</v>
      </c>
      <c r="L3" t="s">
        <v>273</v>
      </c>
      <c r="M3">
        <v>7.0540000000000003</v>
      </c>
      <c r="N3">
        <v>0</v>
      </c>
      <c r="O3">
        <v>0</v>
      </c>
      <c r="P3">
        <v>7.0544250000000002</v>
      </c>
      <c r="Q3">
        <v>0</v>
      </c>
      <c r="R3">
        <v>0</v>
      </c>
      <c r="S3" s="1">
        <f t="shared" ref="S3:S26" si="0">T3/V$1</f>
        <v>0.46644000000000091</v>
      </c>
      <c r="T3" s="2">
        <f>T1-M3+N3</f>
        <v>46.644000000000091</v>
      </c>
    </row>
    <row r="4" spans="1:24" x14ac:dyDescent="0.2">
      <c r="A4" t="s">
        <v>274</v>
      </c>
      <c r="D4">
        <v>0</v>
      </c>
      <c r="E4">
        <v>6.0539503000000003</v>
      </c>
      <c r="L4" t="s">
        <v>274</v>
      </c>
      <c r="M4">
        <v>6.0540000000000003</v>
      </c>
      <c r="N4">
        <v>0</v>
      </c>
      <c r="O4">
        <v>0</v>
      </c>
      <c r="P4">
        <v>6.0539503000000003</v>
      </c>
      <c r="Q4">
        <v>0</v>
      </c>
      <c r="R4">
        <v>0</v>
      </c>
      <c r="S4" s="1">
        <f t="shared" si="0"/>
        <v>0.40590000000000087</v>
      </c>
      <c r="T4" s="2">
        <f t="shared" ref="T4:T26" si="1">T3-M4+N4</f>
        <v>40.590000000000089</v>
      </c>
    </row>
    <row r="5" spans="1:24" x14ac:dyDescent="0.2">
      <c r="A5" t="s">
        <v>275</v>
      </c>
      <c r="D5">
        <v>0</v>
      </c>
      <c r="E5">
        <v>7.0604329999999997</v>
      </c>
      <c r="L5" t="s">
        <v>275</v>
      </c>
      <c r="M5">
        <v>7.06</v>
      </c>
      <c r="N5">
        <v>0</v>
      </c>
      <c r="O5">
        <v>0</v>
      </c>
      <c r="P5">
        <v>7.0604329999999997</v>
      </c>
      <c r="Q5">
        <v>0</v>
      </c>
      <c r="R5">
        <v>0</v>
      </c>
      <c r="S5" s="1">
        <f t="shared" si="0"/>
        <v>0.33530000000000088</v>
      </c>
      <c r="T5" s="2">
        <f t="shared" si="1"/>
        <v>33.530000000000086</v>
      </c>
    </row>
    <row r="6" spans="1:24" x14ac:dyDescent="0.2">
      <c r="A6" t="s">
        <v>276</v>
      </c>
      <c r="D6">
        <v>0</v>
      </c>
      <c r="E6">
        <v>6.6081399999999997</v>
      </c>
      <c r="L6" t="s">
        <v>276</v>
      </c>
      <c r="M6">
        <v>6.6079999999999997</v>
      </c>
      <c r="N6">
        <v>0</v>
      </c>
      <c r="O6">
        <v>0</v>
      </c>
      <c r="P6">
        <v>6.6081399999999997</v>
      </c>
      <c r="Q6">
        <v>0</v>
      </c>
      <c r="R6">
        <v>0</v>
      </c>
      <c r="S6" s="1">
        <f t="shared" si="0"/>
        <v>0.26922000000000085</v>
      </c>
      <c r="T6" s="2">
        <f t="shared" si="1"/>
        <v>26.922000000000086</v>
      </c>
      <c r="V6" t="s">
        <v>20</v>
      </c>
      <c r="W6" t="s">
        <v>277</v>
      </c>
    </row>
    <row r="7" spans="1:24" x14ac:dyDescent="0.2">
      <c r="A7" t="s">
        <v>278</v>
      </c>
      <c r="D7">
        <v>0</v>
      </c>
      <c r="E7">
        <v>6.9712500000000004</v>
      </c>
      <c r="L7" t="s">
        <v>278</v>
      </c>
      <c r="M7">
        <v>6.9710000000000001</v>
      </c>
      <c r="N7">
        <v>0</v>
      </c>
      <c r="O7">
        <v>0</v>
      </c>
      <c r="P7">
        <v>6.9712500000000004</v>
      </c>
      <c r="Q7">
        <v>0</v>
      </c>
      <c r="R7">
        <v>0</v>
      </c>
      <c r="S7" s="1">
        <f t="shared" si="0"/>
        <v>0.19951000000000085</v>
      </c>
      <c r="T7" s="2">
        <f t="shared" si="1"/>
        <v>19.951000000000086</v>
      </c>
      <c r="V7" t="s">
        <v>23</v>
      </c>
      <c r="W7" t="s">
        <v>127</v>
      </c>
    </row>
    <row r="8" spans="1:24" x14ac:dyDescent="0.2">
      <c r="A8" t="s">
        <v>279</v>
      </c>
      <c r="D8">
        <v>0</v>
      </c>
      <c r="E8">
        <v>7.1783000000000001</v>
      </c>
      <c r="L8" t="s">
        <v>279</v>
      </c>
      <c r="M8">
        <v>7.1779999999999999</v>
      </c>
      <c r="N8">
        <v>0</v>
      </c>
      <c r="O8">
        <v>0</v>
      </c>
      <c r="P8">
        <v>7.1783000000000001</v>
      </c>
      <c r="Q8">
        <v>0</v>
      </c>
      <c r="R8">
        <v>0</v>
      </c>
      <c r="S8" s="1">
        <f t="shared" si="0"/>
        <v>0.12773000000000084</v>
      </c>
      <c r="T8" s="2">
        <f t="shared" si="1"/>
        <v>12.773000000000085</v>
      </c>
      <c r="V8" t="s">
        <v>26</v>
      </c>
      <c r="W8">
        <v>8.3000000000000004E-2</v>
      </c>
    </row>
    <row r="9" spans="1:24" x14ac:dyDescent="0.2">
      <c r="A9" t="s">
        <v>280</v>
      </c>
      <c r="D9">
        <v>0.10144967000000001</v>
      </c>
      <c r="E9">
        <v>7.0930499999999999</v>
      </c>
      <c r="L9" t="s">
        <v>280</v>
      </c>
      <c r="M9">
        <v>1.6779999999999999</v>
      </c>
      <c r="N9">
        <v>0</v>
      </c>
      <c r="O9">
        <v>0.10144967000000001</v>
      </c>
      <c r="P9">
        <v>7.0930499999999999</v>
      </c>
      <c r="Q9">
        <v>0</v>
      </c>
      <c r="R9">
        <v>5.3136003299999999</v>
      </c>
      <c r="S9" s="1">
        <f t="shared" si="0"/>
        <v>0.11095000000000084</v>
      </c>
      <c r="T9" s="2">
        <f t="shared" si="1"/>
        <v>11.095000000000084</v>
      </c>
      <c r="V9" t="s">
        <v>28</v>
      </c>
      <c r="W9">
        <f>W8/60</f>
        <v>1.3833333333333334E-3</v>
      </c>
    </row>
    <row r="10" spans="1:24" x14ac:dyDescent="0.2">
      <c r="A10" t="s">
        <v>281</v>
      </c>
      <c r="D10">
        <v>5.1832010000000004</v>
      </c>
      <c r="E10">
        <v>6.2769000000000004</v>
      </c>
      <c r="L10" t="s">
        <v>281</v>
      </c>
      <c r="M10">
        <v>1.0940000000000001</v>
      </c>
      <c r="N10">
        <v>0</v>
      </c>
      <c r="O10">
        <v>5.1832010000000004</v>
      </c>
      <c r="P10">
        <v>6.2769000000000004</v>
      </c>
      <c r="Q10">
        <v>0</v>
      </c>
      <c r="R10">
        <v>0</v>
      </c>
      <c r="S10" s="1">
        <f t="shared" si="0"/>
        <v>0.10001000000000085</v>
      </c>
      <c r="T10" s="2">
        <f t="shared" si="1"/>
        <v>10.001000000000085</v>
      </c>
    </row>
    <row r="11" spans="1:24" x14ac:dyDescent="0.2">
      <c r="A11" t="s">
        <v>282</v>
      </c>
      <c r="D11">
        <v>15.637174999999999</v>
      </c>
      <c r="E11">
        <v>6.3030999999999997</v>
      </c>
      <c r="L11" t="s">
        <v>282</v>
      </c>
      <c r="M11">
        <v>0</v>
      </c>
      <c r="N11">
        <v>0</v>
      </c>
      <c r="O11">
        <v>15.637174999999999</v>
      </c>
      <c r="P11">
        <v>6.3030999999999997</v>
      </c>
      <c r="Q11">
        <v>9.3340749999999986</v>
      </c>
      <c r="R11">
        <v>0</v>
      </c>
      <c r="S11" s="1">
        <f t="shared" si="0"/>
        <v>0.10001000000000085</v>
      </c>
      <c r="T11" s="2">
        <f t="shared" si="1"/>
        <v>10.001000000000085</v>
      </c>
    </row>
    <row r="12" spans="1:24" x14ac:dyDescent="0.2">
      <c r="A12" t="s">
        <v>283</v>
      </c>
      <c r="D12">
        <v>27.149650000000001</v>
      </c>
      <c r="E12">
        <v>7.2679999999999998</v>
      </c>
      <c r="L12" t="s">
        <v>283</v>
      </c>
      <c r="M12">
        <v>0</v>
      </c>
      <c r="N12">
        <v>19.882000000000001</v>
      </c>
      <c r="O12">
        <v>27.149650000000001</v>
      </c>
      <c r="P12">
        <v>7.2679999999999998</v>
      </c>
      <c r="Q12">
        <v>0</v>
      </c>
      <c r="R12">
        <v>0</v>
      </c>
      <c r="S12" s="1">
        <f t="shared" si="0"/>
        <v>0.29883000000000087</v>
      </c>
      <c r="T12" s="2">
        <f t="shared" si="1"/>
        <v>29.883000000000088</v>
      </c>
    </row>
    <row r="13" spans="1:24" x14ac:dyDescent="0.2">
      <c r="A13" t="s">
        <v>284</v>
      </c>
      <c r="D13">
        <v>35.132899999999999</v>
      </c>
      <c r="E13">
        <v>6.8726000000000003</v>
      </c>
      <c r="L13" t="s">
        <v>284</v>
      </c>
      <c r="M13">
        <v>0</v>
      </c>
      <c r="N13">
        <v>0</v>
      </c>
      <c r="O13">
        <v>35.132899999999999</v>
      </c>
      <c r="P13">
        <v>6.8726000000000003</v>
      </c>
      <c r="Q13">
        <v>28.260300000000001</v>
      </c>
      <c r="R13">
        <v>0</v>
      </c>
      <c r="S13" s="1">
        <f t="shared" si="0"/>
        <v>0.29883000000000087</v>
      </c>
      <c r="T13" s="2">
        <f t="shared" si="1"/>
        <v>29.883000000000088</v>
      </c>
    </row>
    <row r="14" spans="1:24" x14ac:dyDescent="0.2">
      <c r="A14" t="s">
        <v>285</v>
      </c>
      <c r="D14">
        <v>30.12565</v>
      </c>
      <c r="E14">
        <v>7.0134999999999996</v>
      </c>
      <c r="L14" t="s">
        <v>285</v>
      </c>
      <c r="M14">
        <v>0</v>
      </c>
      <c r="N14">
        <v>23.111999999999998</v>
      </c>
      <c r="O14">
        <v>30.12565</v>
      </c>
      <c r="P14">
        <v>7.0134999999999996</v>
      </c>
      <c r="Q14">
        <v>0</v>
      </c>
      <c r="R14">
        <v>0</v>
      </c>
      <c r="S14" s="1">
        <f t="shared" si="0"/>
        <v>0.52995000000000092</v>
      </c>
      <c r="T14" s="2">
        <f t="shared" si="1"/>
        <v>52.99500000000009</v>
      </c>
    </row>
    <row r="15" spans="1:24" x14ac:dyDescent="0.2">
      <c r="A15" t="s">
        <v>286</v>
      </c>
      <c r="D15">
        <v>42.916499999999999</v>
      </c>
      <c r="E15">
        <v>7.1076664999999997</v>
      </c>
      <c r="L15" t="s">
        <v>286</v>
      </c>
      <c r="M15">
        <v>0</v>
      </c>
      <c r="N15">
        <v>0</v>
      </c>
      <c r="O15">
        <v>42.916499999999999</v>
      </c>
      <c r="P15">
        <v>7.1076664999999997</v>
      </c>
      <c r="Q15">
        <v>35.808833499999999</v>
      </c>
      <c r="R15">
        <v>0</v>
      </c>
      <c r="S15" s="1">
        <f t="shared" si="0"/>
        <v>0.52995000000000092</v>
      </c>
      <c r="T15" s="2">
        <f t="shared" si="1"/>
        <v>52.99500000000009</v>
      </c>
    </row>
    <row r="16" spans="1:24" x14ac:dyDescent="0.2">
      <c r="A16" t="s">
        <v>287</v>
      </c>
      <c r="D16">
        <v>43.40925</v>
      </c>
      <c r="E16">
        <v>9.045401</v>
      </c>
      <c r="L16" t="s">
        <v>287</v>
      </c>
      <c r="M16">
        <v>0</v>
      </c>
      <c r="N16">
        <v>34.363999999999997</v>
      </c>
      <c r="O16">
        <v>43.40925</v>
      </c>
      <c r="P16">
        <v>9.045401</v>
      </c>
      <c r="Q16">
        <v>0</v>
      </c>
      <c r="R16">
        <v>0</v>
      </c>
      <c r="S16" s="1">
        <f t="shared" si="0"/>
        <v>0.87359000000000098</v>
      </c>
      <c r="T16" s="2">
        <f t="shared" si="1"/>
        <v>87.359000000000094</v>
      </c>
    </row>
    <row r="17" spans="1:20" x14ac:dyDescent="0.2">
      <c r="A17" t="s">
        <v>288</v>
      </c>
      <c r="D17">
        <v>40.594771999999999</v>
      </c>
      <c r="E17">
        <v>10.4659</v>
      </c>
      <c r="L17" t="s">
        <v>288</v>
      </c>
      <c r="M17">
        <v>0</v>
      </c>
      <c r="N17">
        <v>0</v>
      </c>
      <c r="O17">
        <v>40.594771999999999</v>
      </c>
      <c r="P17">
        <v>10.4659</v>
      </c>
      <c r="Q17">
        <v>30.128872000000001</v>
      </c>
      <c r="R17">
        <v>0</v>
      </c>
      <c r="S17" s="1">
        <f t="shared" si="0"/>
        <v>0.87359000000000098</v>
      </c>
      <c r="T17" s="2">
        <f t="shared" si="1"/>
        <v>87.359000000000094</v>
      </c>
    </row>
    <row r="18" spans="1:20" x14ac:dyDescent="0.2">
      <c r="A18" t="s">
        <v>289</v>
      </c>
      <c r="D18">
        <v>33.591602000000002</v>
      </c>
      <c r="E18">
        <v>7.7746000000000004</v>
      </c>
      <c r="L18" t="s">
        <v>289</v>
      </c>
      <c r="M18">
        <v>0</v>
      </c>
      <c r="N18">
        <v>0</v>
      </c>
      <c r="O18">
        <v>33.591602000000002</v>
      </c>
      <c r="P18">
        <v>7.7746000000000004</v>
      </c>
      <c r="Q18">
        <v>25.817001999999999</v>
      </c>
      <c r="R18">
        <v>0</v>
      </c>
      <c r="S18" s="1">
        <f t="shared" si="0"/>
        <v>0.87359000000000098</v>
      </c>
      <c r="T18" s="2">
        <f t="shared" si="1"/>
        <v>87.359000000000094</v>
      </c>
    </row>
    <row r="19" spans="1:20" x14ac:dyDescent="0.2">
      <c r="A19" t="s">
        <v>290</v>
      </c>
      <c r="D19">
        <v>25.847925</v>
      </c>
      <c r="E19">
        <v>12.618</v>
      </c>
      <c r="L19" t="s">
        <v>290</v>
      </c>
      <c r="M19">
        <v>0</v>
      </c>
      <c r="N19">
        <v>12.641999999999999</v>
      </c>
      <c r="O19">
        <v>25.847925</v>
      </c>
      <c r="P19">
        <v>12.618</v>
      </c>
      <c r="Q19">
        <v>0.58792500000000025</v>
      </c>
      <c r="R19">
        <v>0</v>
      </c>
      <c r="S19" s="1">
        <f t="shared" si="0"/>
        <v>1.000010000000001</v>
      </c>
      <c r="T19" s="2">
        <f t="shared" si="1"/>
        <v>100.00100000000009</v>
      </c>
    </row>
    <row r="20" spans="1:20" x14ac:dyDescent="0.2">
      <c r="A20" t="s">
        <v>291</v>
      </c>
      <c r="D20">
        <v>14.367425000000001</v>
      </c>
      <c r="E20">
        <v>12.16245</v>
      </c>
      <c r="L20" t="s">
        <v>291</v>
      </c>
      <c r="M20">
        <v>0</v>
      </c>
      <c r="N20">
        <v>0</v>
      </c>
      <c r="O20">
        <v>14.367425000000001</v>
      </c>
      <c r="P20">
        <v>12.16245</v>
      </c>
      <c r="Q20">
        <v>2.204975000000001</v>
      </c>
      <c r="R20">
        <v>0</v>
      </c>
      <c r="S20" s="1">
        <f t="shared" si="0"/>
        <v>1.000010000000001</v>
      </c>
      <c r="T20" s="2">
        <f t="shared" si="1"/>
        <v>100.00100000000009</v>
      </c>
    </row>
    <row r="21" spans="1:20" x14ac:dyDescent="0.2">
      <c r="A21" t="s">
        <v>292</v>
      </c>
      <c r="D21">
        <v>2.6058998</v>
      </c>
      <c r="E21">
        <v>11.893233</v>
      </c>
      <c r="L21" t="s">
        <v>292</v>
      </c>
      <c r="M21">
        <v>9.2870000000000008</v>
      </c>
      <c r="N21">
        <v>0</v>
      </c>
      <c r="O21">
        <v>2.6058998</v>
      </c>
      <c r="P21">
        <v>11.893233</v>
      </c>
      <c r="Q21">
        <v>0</v>
      </c>
      <c r="R21">
        <v>0</v>
      </c>
      <c r="S21" s="1">
        <f t="shared" si="0"/>
        <v>0.90714000000000083</v>
      </c>
      <c r="T21" s="2">
        <f t="shared" si="1"/>
        <v>90.714000000000084</v>
      </c>
    </row>
    <row r="22" spans="1:20" x14ac:dyDescent="0.2">
      <c r="A22" t="s">
        <v>293</v>
      </c>
      <c r="D22">
        <v>0.21872506</v>
      </c>
      <c r="E22">
        <v>11.8324</v>
      </c>
      <c r="L22" t="s">
        <v>293</v>
      </c>
      <c r="M22">
        <v>11.614000000000001</v>
      </c>
      <c r="N22">
        <v>0</v>
      </c>
      <c r="O22">
        <v>0.21872506</v>
      </c>
      <c r="P22">
        <v>11.8324</v>
      </c>
      <c r="Q22">
        <v>0</v>
      </c>
      <c r="R22">
        <v>0</v>
      </c>
      <c r="S22" s="1">
        <f t="shared" si="0"/>
        <v>0.79100000000000081</v>
      </c>
      <c r="T22" s="2">
        <f t="shared" si="1"/>
        <v>79.10000000000008</v>
      </c>
    </row>
    <row r="23" spans="1:20" x14ac:dyDescent="0.2">
      <c r="A23" t="s">
        <v>294</v>
      </c>
      <c r="D23">
        <v>0</v>
      </c>
      <c r="E23">
        <v>11.771566</v>
      </c>
      <c r="L23" t="s">
        <v>294</v>
      </c>
      <c r="M23">
        <v>11.772</v>
      </c>
      <c r="N23">
        <v>0</v>
      </c>
      <c r="O23">
        <v>0</v>
      </c>
      <c r="P23">
        <v>11.771566</v>
      </c>
      <c r="Q23">
        <v>0</v>
      </c>
      <c r="R23">
        <v>0</v>
      </c>
      <c r="S23" s="1">
        <f t="shared" si="0"/>
        <v>0.67328000000000077</v>
      </c>
      <c r="T23" s="2">
        <f t="shared" si="1"/>
        <v>67.328000000000074</v>
      </c>
    </row>
    <row r="24" spans="1:20" x14ac:dyDescent="0.2">
      <c r="A24" t="s">
        <v>295</v>
      </c>
      <c r="D24">
        <v>0</v>
      </c>
      <c r="E24">
        <v>7.5220330000000004</v>
      </c>
      <c r="L24" t="s">
        <v>295</v>
      </c>
      <c r="M24">
        <v>7.5220000000000002</v>
      </c>
      <c r="N24">
        <v>0</v>
      </c>
      <c r="O24">
        <v>0</v>
      </c>
      <c r="P24">
        <v>7.5220330000000004</v>
      </c>
      <c r="Q24">
        <v>0</v>
      </c>
      <c r="R24">
        <v>0</v>
      </c>
      <c r="S24" s="1">
        <f t="shared" si="0"/>
        <v>0.5980600000000007</v>
      </c>
      <c r="T24" s="2">
        <f t="shared" si="1"/>
        <v>59.806000000000076</v>
      </c>
    </row>
    <row r="25" spans="1:20" x14ac:dyDescent="0.2">
      <c r="A25" t="s">
        <v>296</v>
      </c>
      <c r="D25">
        <v>0</v>
      </c>
      <c r="E25">
        <v>6.3232336</v>
      </c>
      <c r="L25" t="s">
        <v>296</v>
      </c>
      <c r="M25">
        <v>6.3230000000000004</v>
      </c>
      <c r="N25">
        <v>0</v>
      </c>
      <c r="O25">
        <v>0</v>
      </c>
      <c r="P25">
        <v>6.3232336</v>
      </c>
      <c r="Q25">
        <v>0</v>
      </c>
      <c r="R25">
        <v>0</v>
      </c>
      <c r="S25" s="1">
        <f t="shared" si="0"/>
        <v>0.5348300000000008</v>
      </c>
      <c r="T25" s="2">
        <f t="shared" si="1"/>
        <v>53.483000000000075</v>
      </c>
    </row>
    <row r="26" spans="1:20" x14ac:dyDescent="0.2">
      <c r="A26" t="s">
        <v>297</v>
      </c>
      <c r="D26">
        <v>0</v>
      </c>
      <c r="E26">
        <v>4.9103000000000003</v>
      </c>
      <c r="L26" t="s">
        <v>297</v>
      </c>
      <c r="M26">
        <v>4.91</v>
      </c>
      <c r="N26">
        <v>0</v>
      </c>
      <c r="O26">
        <v>0</v>
      </c>
      <c r="P26">
        <v>4.9103000000000003</v>
      </c>
      <c r="Q26">
        <v>0</v>
      </c>
      <c r="R26">
        <v>0</v>
      </c>
      <c r="S26" s="1">
        <f t="shared" si="0"/>
        <v>0.48573000000000077</v>
      </c>
      <c r="T26" s="2">
        <f t="shared" si="1"/>
        <v>48.573000000000079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Y26"/>
  <sheetViews>
    <sheetView tabSelected="1" workbookViewId="0">
      <selection activeCell="M1" sqref="M1:U26"/>
    </sheetView>
  </sheetViews>
  <sheetFormatPr baseColWidth="10" defaultColWidth="8.83203125" defaultRowHeight="15" x14ac:dyDescent="0.2"/>
  <cols>
    <col min="11" max="11" width="6.33203125" customWidth="1"/>
    <col min="12" max="12" width="19.6640625" customWidth="1"/>
    <col min="13" max="13" width="9.83203125" customWidth="1"/>
    <col min="14" max="14" width="12.5" customWidth="1"/>
    <col min="15" max="15" width="9.83203125" customWidth="1"/>
    <col min="16" max="16" width="15.83203125" customWidth="1"/>
    <col min="17" max="17" width="15.1640625" customWidth="1"/>
    <col min="18" max="18" width="9.33203125" bestFit="1" customWidth="1"/>
    <col min="19" max="19" width="12.5" bestFit="1" customWidth="1"/>
    <col min="20" max="20" width="12.6640625" customWidth="1"/>
    <col min="21" max="21" width="18" bestFit="1" customWidth="1"/>
  </cols>
  <sheetData>
    <row r="1" spans="1:25" x14ac:dyDescent="0.2">
      <c r="A1" t="s">
        <v>0</v>
      </c>
      <c r="D1" t="s">
        <v>1</v>
      </c>
      <c r="L1" t="s">
        <v>2</v>
      </c>
      <c r="Q1" s="5" t="s">
        <v>1308</v>
      </c>
      <c r="R1" s="1">
        <v>0.48573000000000049</v>
      </c>
      <c r="S1">
        <f>R1*U1</f>
        <v>48.57300000000005</v>
      </c>
      <c r="T1" s="5" t="s">
        <v>4</v>
      </c>
      <c r="U1" s="7">
        <v>100</v>
      </c>
      <c r="X1" t="s">
        <v>5</v>
      </c>
      <c r="Y1" s="1">
        <v>0.1</v>
      </c>
    </row>
    <row r="2" spans="1:25" x14ac:dyDescent="0.2">
      <c r="A2" t="s">
        <v>6</v>
      </c>
      <c r="B2" t="s">
        <v>7</v>
      </c>
      <c r="C2" t="s">
        <v>8</v>
      </c>
      <c r="D2" t="s">
        <v>9</v>
      </c>
      <c r="E2" t="s">
        <v>10</v>
      </c>
      <c r="F2" t="s">
        <v>11</v>
      </c>
      <c r="G2" t="s">
        <v>12</v>
      </c>
      <c r="H2" t="s">
        <v>13</v>
      </c>
      <c r="I2" t="s">
        <v>14</v>
      </c>
      <c r="L2" t="s">
        <v>6</v>
      </c>
      <c r="M2" s="6" t="s">
        <v>1301</v>
      </c>
      <c r="N2" s="6" t="s">
        <v>1302</v>
      </c>
      <c r="O2" s="6" t="s">
        <v>1303</v>
      </c>
      <c r="P2" s="6" t="s">
        <v>1304</v>
      </c>
      <c r="Q2" s="6" t="s">
        <v>1305</v>
      </c>
      <c r="R2" s="6" t="s">
        <v>1306</v>
      </c>
      <c r="S2" s="6" t="s">
        <v>1307</v>
      </c>
      <c r="T2" s="6" t="s">
        <v>13</v>
      </c>
      <c r="U2" s="6" t="s">
        <v>14</v>
      </c>
      <c r="X2" t="s">
        <v>15</v>
      </c>
      <c r="Y2" s="1">
        <v>1</v>
      </c>
    </row>
    <row r="3" spans="1:25" x14ac:dyDescent="0.2">
      <c r="A3" t="s">
        <v>298</v>
      </c>
      <c r="D3">
        <v>0</v>
      </c>
      <c r="E3">
        <v>11.942901000000001</v>
      </c>
      <c r="L3" s="3">
        <v>45190</v>
      </c>
      <c r="M3" s="4">
        <v>0</v>
      </c>
      <c r="N3">
        <v>11.943</v>
      </c>
      <c r="O3">
        <v>0</v>
      </c>
      <c r="P3">
        <v>0</v>
      </c>
      <c r="Q3">
        <v>11.942901000000001</v>
      </c>
      <c r="R3">
        <v>0</v>
      </c>
      <c r="S3">
        <v>0</v>
      </c>
      <c r="T3" s="1">
        <f>U3/U$1</f>
        <v>0.36630000000000051</v>
      </c>
      <c r="U3" s="2">
        <f>S1-N3+O3</f>
        <v>36.630000000000052</v>
      </c>
    </row>
    <row r="4" spans="1:25" x14ac:dyDescent="0.2">
      <c r="A4" t="s">
        <v>299</v>
      </c>
      <c r="D4">
        <v>0</v>
      </c>
      <c r="E4">
        <v>11.029223999999999</v>
      </c>
      <c r="L4" t="s">
        <v>299</v>
      </c>
      <c r="M4" s="4">
        <v>4.1666666666666664E-2</v>
      </c>
      <c r="N4">
        <v>7.9429999999999996</v>
      </c>
      <c r="O4">
        <v>0</v>
      </c>
      <c r="P4">
        <v>0</v>
      </c>
      <c r="Q4">
        <v>11.029223999999999</v>
      </c>
      <c r="R4">
        <v>0</v>
      </c>
      <c r="S4">
        <v>3.0862240000000001</v>
      </c>
      <c r="T4" s="1">
        <f>U4/U$1</f>
        <v>0.28687000000000057</v>
      </c>
      <c r="U4" s="2">
        <f t="shared" ref="U4:U26" si="0">U3-N4+O4</f>
        <v>28.687000000000054</v>
      </c>
    </row>
    <row r="5" spans="1:25" x14ac:dyDescent="0.2">
      <c r="A5" t="s">
        <v>300</v>
      </c>
      <c r="D5">
        <v>0</v>
      </c>
      <c r="E5">
        <v>7.1119000000000003</v>
      </c>
      <c r="L5" t="s">
        <v>300</v>
      </c>
      <c r="M5" s="4">
        <v>8.3333333333333301E-2</v>
      </c>
      <c r="N5">
        <v>0</v>
      </c>
      <c r="O5">
        <v>0</v>
      </c>
      <c r="P5">
        <v>0</v>
      </c>
      <c r="Q5">
        <v>7.1119000000000003</v>
      </c>
      <c r="R5">
        <v>0</v>
      </c>
      <c r="S5">
        <v>7.1119000000000003</v>
      </c>
      <c r="T5" s="1">
        <f>U5/U$1</f>
        <v>0.28687000000000057</v>
      </c>
      <c r="U5" s="2">
        <f t="shared" si="0"/>
        <v>28.687000000000054</v>
      </c>
    </row>
    <row r="6" spans="1:25" x14ac:dyDescent="0.2">
      <c r="A6" t="s">
        <v>301</v>
      </c>
      <c r="D6">
        <v>0</v>
      </c>
      <c r="E6">
        <v>6.7546999999999997</v>
      </c>
      <c r="L6" t="s">
        <v>301</v>
      </c>
      <c r="M6" s="4">
        <v>0.125</v>
      </c>
      <c r="N6">
        <v>6.7549999999999999</v>
      </c>
      <c r="O6">
        <v>0</v>
      </c>
      <c r="P6">
        <v>0</v>
      </c>
      <c r="Q6">
        <v>6.7546999999999997</v>
      </c>
      <c r="R6">
        <v>0</v>
      </c>
      <c r="S6">
        <v>0</v>
      </c>
      <c r="T6" s="1">
        <f>U6/U$1</f>
        <v>0.21932000000000054</v>
      </c>
      <c r="U6" s="2">
        <f t="shared" si="0"/>
        <v>21.932000000000055</v>
      </c>
      <c r="W6" t="s">
        <v>20</v>
      </c>
      <c r="X6" t="s">
        <v>302</v>
      </c>
    </row>
    <row r="7" spans="1:25" x14ac:dyDescent="0.2">
      <c r="A7" t="s">
        <v>303</v>
      </c>
      <c r="D7">
        <v>0</v>
      </c>
      <c r="E7">
        <v>7.0403500000000001</v>
      </c>
      <c r="L7" t="s">
        <v>303</v>
      </c>
      <c r="M7" s="4">
        <v>0.16666666666666699</v>
      </c>
      <c r="N7">
        <v>7.04</v>
      </c>
      <c r="O7">
        <v>0</v>
      </c>
      <c r="P7">
        <v>0</v>
      </c>
      <c r="Q7">
        <v>7.0403500000000001</v>
      </c>
      <c r="R7">
        <v>0</v>
      </c>
      <c r="S7">
        <v>0</v>
      </c>
      <c r="T7" s="1">
        <f>U7/U$1</f>
        <v>0.14892000000000055</v>
      </c>
      <c r="U7" s="2">
        <f t="shared" si="0"/>
        <v>14.892000000000056</v>
      </c>
      <c r="W7" t="s">
        <v>23</v>
      </c>
      <c r="X7" t="s">
        <v>127</v>
      </c>
    </row>
    <row r="8" spans="1:25" x14ac:dyDescent="0.2">
      <c r="A8" t="s">
        <v>304</v>
      </c>
      <c r="D8">
        <v>0</v>
      </c>
      <c r="E8">
        <v>6.8464669999999996</v>
      </c>
      <c r="L8" t="s">
        <v>304</v>
      </c>
      <c r="M8" s="4">
        <v>0.20833333333333301</v>
      </c>
      <c r="N8">
        <v>0</v>
      </c>
      <c r="O8">
        <v>0</v>
      </c>
      <c r="P8">
        <v>0</v>
      </c>
      <c r="Q8">
        <v>6.8464669999999996</v>
      </c>
      <c r="R8">
        <v>0</v>
      </c>
      <c r="S8">
        <v>6.8464669999999996</v>
      </c>
      <c r="T8" s="1">
        <f>U8/U$1</f>
        <v>0.14892000000000055</v>
      </c>
      <c r="U8" s="2">
        <f t="shared" si="0"/>
        <v>14.892000000000056</v>
      </c>
      <c r="W8" t="s">
        <v>26</v>
      </c>
      <c r="X8">
        <v>8.3000000000000004E-2</v>
      </c>
    </row>
    <row r="9" spans="1:25" x14ac:dyDescent="0.2">
      <c r="A9" t="s">
        <v>305</v>
      </c>
      <c r="D9">
        <v>0</v>
      </c>
      <c r="E9">
        <v>6.8563499999999999</v>
      </c>
      <c r="L9" t="s">
        <v>305</v>
      </c>
      <c r="M9" s="4">
        <v>0.25</v>
      </c>
      <c r="N9">
        <v>0</v>
      </c>
      <c r="O9">
        <v>0</v>
      </c>
      <c r="P9">
        <v>0</v>
      </c>
      <c r="Q9">
        <v>6.8563499999999999</v>
      </c>
      <c r="R9">
        <v>0</v>
      </c>
      <c r="S9">
        <v>6.8563499999999999</v>
      </c>
      <c r="T9" s="1">
        <f>U9/U$1</f>
        <v>0.14892000000000055</v>
      </c>
      <c r="U9" s="2">
        <f t="shared" si="0"/>
        <v>14.892000000000056</v>
      </c>
      <c r="W9" t="s">
        <v>28</v>
      </c>
      <c r="X9">
        <f>X8/60</f>
        <v>1.3833333333333334E-3</v>
      </c>
    </row>
    <row r="10" spans="1:25" x14ac:dyDescent="0.2">
      <c r="A10" t="s">
        <v>306</v>
      </c>
      <c r="D10">
        <v>1.6021000999999999</v>
      </c>
      <c r="E10">
        <v>6.4936999999999996</v>
      </c>
      <c r="L10" t="s">
        <v>306</v>
      </c>
      <c r="M10" s="4">
        <v>0.29166666666666702</v>
      </c>
      <c r="N10">
        <v>4.8920000000000003</v>
      </c>
      <c r="O10">
        <v>0</v>
      </c>
      <c r="P10">
        <v>1.6021000999999999</v>
      </c>
      <c r="Q10">
        <v>6.4936999999999996</v>
      </c>
      <c r="R10">
        <v>0</v>
      </c>
      <c r="S10">
        <v>0</v>
      </c>
      <c r="T10" s="1">
        <f>U10/U$1</f>
        <v>0.10000000000000057</v>
      </c>
      <c r="U10" s="2">
        <f t="shared" si="0"/>
        <v>10.000000000000057</v>
      </c>
    </row>
    <row r="11" spans="1:25" x14ac:dyDescent="0.2">
      <c r="A11" t="s">
        <v>307</v>
      </c>
      <c r="D11">
        <v>9.0166000000000004</v>
      </c>
      <c r="E11">
        <v>7.0319666999999999</v>
      </c>
      <c r="L11" t="s">
        <v>307</v>
      </c>
      <c r="M11" s="4">
        <v>0.33333333333333298</v>
      </c>
      <c r="N11">
        <v>0</v>
      </c>
      <c r="O11">
        <v>1.9850000000000001</v>
      </c>
      <c r="P11">
        <v>9.0166000000000004</v>
      </c>
      <c r="Q11">
        <v>7.0319666999999999</v>
      </c>
      <c r="R11">
        <v>0</v>
      </c>
      <c r="S11">
        <v>0</v>
      </c>
      <c r="T11" s="1">
        <f>U11/U$1</f>
        <v>0.11985000000000057</v>
      </c>
      <c r="U11" s="2">
        <f t="shared" si="0"/>
        <v>11.985000000000056</v>
      </c>
    </row>
    <row r="12" spans="1:25" x14ac:dyDescent="0.2">
      <c r="A12" t="s">
        <v>308</v>
      </c>
      <c r="D12">
        <v>17.265174999999999</v>
      </c>
      <c r="E12">
        <v>7.0701999999999998</v>
      </c>
      <c r="L12" t="s">
        <v>308</v>
      </c>
      <c r="M12" s="4">
        <v>0.375</v>
      </c>
      <c r="N12">
        <v>0</v>
      </c>
      <c r="O12">
        <v>10.195</v>
      </c>
      <c r="P12">
        <v>17.265174999999999</v>
      </c>
      <c r="Q12">
        <v>7.0701999999999998</v>
      </c>
      <c r="R12">
        <v>0</v>
      </c>
      <c r="S12">
        <v>0</v>
      </c>
      <c r="T12" s="1">
        <f>U12/U$1</f>
        <v>0.22180000000000055</v>
      </c>
      <c r="U12" s="2">
        <f t="shared" si="0"/>
        <v>22.180000000000057</v>
      </c>
    </row>
    <row r="13" spans="1:25" x14ac:dyDescent="0.2">
      <c r="A13" t="s">
        <v>309</v>
      </c>
      <c r="D13">
        <v>15.700174000000001</v>
      </c>
      <c r="E13">
        <v>6.6094502999999998</v>
      </c>
      <c r="L13" t="s">
        <v>309</v>
      </c>
      <c r="M13" s="4">
        <v>0.41666666666666702</v>
      </c>
      <c r="N13">
        <v>0</v>
      </c>
      <c r="O13">
        <v>9.0909999999999993</v>
      </c>
      <c r="P13">
        <v>15.700174000000001</v>
      </c>
      <c r="Q13">
        <v>6.6094502999999998</v>
      </c>
      <c r="R13">
        <v>0</v>
      </c>
      <c r="S13">
        <v>0</v>
      </c>
      <c r="T13" s="1">
        <f>U13/U$1</f>
        <v>0.3127100000000006</v>
      </c>
      <c r="U13" s="2">
        <f t="shared" si="0"/>
        <v>31.271000000000058</v>
      </c>
    </row>
    <row r="14" spans="1:25" x14ac:dyDescent="0.2">
      <c r="A14" t="s">
        <v>310</v>
      </c>
      <c r="D14">
        <v>27.26895</v>
      </c>
      <c r="E14">
        <v>10.742749999999999</v>
      </c>
      <c r="L14" t="s">
        <v>310</v>
      </c>
      <c r="M14" s="4">
        <v>0.45833333333333298</v>
      </c>
      <c r="N14">
        <v>0</v>
      </c>
      <c r="O14">
        <v>16.526</v>
      </c>
      <c r="P14">
        <v>27.26895</v>
      </c>
      <c r="Q14">
        <v>10.742749999999999</v>
      </c>
      <c r="R14">
        <v>0</v>
      </c>
      <c r="S14">
        <v>0</v>
      </c>
      <c r="T14" s="1">
        <f>U14/U$1</f>
        <v>0.47797000000000056</v>
      </c>
      <c r="U14" s="2">
        <f t="shared" si="0"/>
        <v>47.797000000000054</v>
      </c>
    </row>
    <row r="15" spans="1:25" x14ac:dyDescent="0.2">
      <c r="A15" t="s">
        <v>311</v>
      </c>
      <c r="D15">
        <v>33.833396999999998</v>
      </c>
      <c r="E15">
        <v>12.474466</v>
      </c>
      <c r="L15" t="s">
        <v>311</v>
      </c>
      <c r="M15" s="4">
        <v>0.5</v>
      </c>
      <c r="N15">
        <v>0</v>
      </c>
      <c r="O15">
        <v>21.359000000000002</v>
      </c>
      <c r="P15">
        <v>33.833396999999998</v>
      </c>
      <c r="Q15">
        <v>12.474466</v>
      </c>
      <c r="R15">
        <v>0</v>
      </c>
      <c r="S15">
        <v>0</v>
      </c>
      <c r="T15" s="1">
        <f>U15/U$1</f>
        <v>0.69156000000000062</v>
      </c>
      <c r="U15" s="2">
        <f t="shared" si="0"/>
        <v>69.156000000000063</v>
      </c>
    </row>
    <row r="16" spans="1:25" x14ac:dyDescent="0.2">
      <c r="A16" t="s">
        <v>312</v>
      </c>
      <c r="D16">
        <v>18.225467999999999</v>
      </c>
      <c r="E16">
        <v>11.673375</v>
      </c>
      <c r="L16" t="s">
        <v>312</v>
      </c>
      <c r="M16" s="4">
        <v>0.54166666666666696</v>
      </c>
      <c r="N16">
        <v>0</v>
      </c>
      <c r="O16">
        <v>6.5519999999999996</v>
      </c>
      <c r="P16">
        <v>18.225467999999999</v>
      </c>
      <c r="Q16">
        <v>11.673375</v>
      </c>
      <c r="R16">
        <v>0</v>
      </c>
      <c r="S16">
        <v>0</v>
      </c>
      <c r="T16" s="1">
        <f>U16/U$1</f>
        <v>0.75708000000000053</v>
      </c>
      <c r="U16" s="2">
        <f t="shared" si="0"/>
        <v>75.708000000000055</v>
      </c>
    </row>
    <row r="17" spans="1:21" x14ac:dyDescent="0.2">
      <c r="A17" t="s">
        <v>313</v>
      </c>
      <c r="D17">
        <v>7.0316796000000004</v>
      </c>
      <c r="E17">
        <v>8.0453499999999991</v>
      </c>
      <c r="L17" t="s">
        <v>313</v>
      </c>
      <c r="M17" s="4">
        <v>0.58333333333333304</v>
      </c>
      <c r="N17">
        <v>1.014</v>
      </c>
      <c r="O17">
        <v>0</v>
      </c>
      <c r="P17">
        <v>7.0316796000000004</v>
      </c>
      <c r="Q17">
        <v>8.0453499999999991</v>
      </c>
      <c r="R17">
        <v>0</v>
      </c>
      <c r="S17">
        <v>0</v>
      </c>
      <c r="T17" s="1">
        <f>U17/U$1</f>
        <v>0.7469400000000006</v>
      </c>
      <c r="U17" s="2">
        <f t="shared" si="0"/>
        <v>74.694000000000059</v>
      </c>
    </row>
    <row r="18" spans="1:21" x14ac:dyDescent="0.2">
      <c r="A18" t="s">
        <v>314</v>
      </c>
      <c r="D18">
        <v>15.6896</v>
      </c>
      <c r="E18">
        <v>13.388199999999999</v>
      </c>
      <c r="L18" t="s">
        <v>314</v>
      </c>
      <c r="M18" s="4">
        <v>0.625</v>
      </c>
      <c r="N18">
        <v>0</v>
      </c>
      <c r="O18">
        <v>2.3010000000000002</v>
      </c>
      <c r="P18">
        <v>15.6896</v>
      </c>
      <c r="Q18">
        <v>13.388199999999999</v>
      </c>
      <c r="R18">
        <v>0</v>
      </c>
      <c r="S18">
        <v>0</v>
      </c>
      <c r="T18" s="1">
        <f>U18/U$1</f>
        <v>0.76995000000000058</v>
      </c>
      <c r="U18" s="2">
        <f t="shared" si="0"/>
        <v>76.995000000000061</v>
      </c>
    </row>
    <row r="19" spans="1:21" x14ac:dyDescent="0.2">
      <c r="A19" t="s">
        <v>315</v>
      </c>
      <c r="D19">
        <v>18.77956</v>
      </c>
      <c r="E19">
        <v>12.888700500000001</v>
      </c>
      <c r="L19" t="s">
        <v>315</v>
      </c>
      <c r="M19" s="4">
        <v>0.66666666666666696</v>
      </c>
      <c r="N19">
        <v>0</v>
      </c>
      <c r="O19">
        <v>5.891</v>
      </c>
      <c r="P19">
        <v>18.77956</v>
      </c>
      <c r="Q19">
        <v>12.888700500000001</v>
      </c>
      <c r="R19">
        <v>0</v>
      </c>
      <c r="S19">
        <v>0</v>
      </c>
      <c r="T19" s="1">
        <f>U19/U$1</f>
        <v>0.82886000000000071</v>
      </c>
      <c r="U19" s="2">
        <f t="shared" si="0"/>
        <v>82.886000000000067</v>
      </c>
    </row>
    <row r="20" spans="1:21" x14ac:dyDescent="0.2">
      <c r="A20" t="s">
        <v>316</v>
      </c>
      <c r="D20">
        <v>9.0149249999999999</v>
      </c>
      <c r="E20">
        <v>12.500401</v>
      </c>
      <c r="L20" t="s">
        <v>316</v>
      </c>
      <c r="M20" s="4">
        <v>0.70833333333333304</v>
      </c>
      <c r="N20">
        <v>3.4849999999999999</v>
      </c>
      <c r="O20">
        <v>0</v>
      </c>
      <c r="P20">
        <v>9.0149249999999999</v>
      </c>
      <c r="Q20">
        <v>12.500401</v>
      </c>
      <c r="R20">
        <v>0</v>
      </c>
      <c r="S20">
        <v>0</v>
      </c>
      <c r="T20" s="1">
        <f>U20/U$1</f>
        <v>0.79401000000000066</v>
      </c>
      <c r="U20" s="2">
        <f t="shared" si="0"/>
        <v>79.401000000000067</v>
      </c>
    </row>
    <row r="21" spans="1:21" x14ac:dyDescent="0.2">
      <c r="A21" t="s">
        <v>317</v>
      </c>
      <c r="D21">
        <v>1.2375503000000001</v>
      </c>
      <c r="E21">
        <v>12.951900500000001</v>
      </c>
      <c r="L21" t="s">
        <v>317</v>
      </c>
      <c r="M21" s="4">
        <v>0.75</v>
      </c>
      <c r="N21">
        <v>11.714</v>
      </c>
      <c r="O21">
        <v>0</v>
      </c>
      <c r="P21">
        <v>1.2375503000000001</v>
      </c>
      <c r="Q21">
        <v>12.951900500000001</v>
      </c>
      <c r="R21">
        <v>0</v>
      </c>
      <c r="S21">
        <v>0</v>
      </c>
      <c r="T21" s="1">
        <f>U21/U$1</f>
        <v>0.67687000000000064</v>
      </c>
      <c r="U21" s="2">
        <f t="shared" si="0"/>
        <v>67.687000000000069</v>
      </c>
    </row>
    <row r="22" spans="1:21" x14ac:dyDescent="0.2">
      <c r="A22" t="s">
        <v>318</v>
      </c>
      <c r="D22">
        <v>0</v>
      </c>
      <c r="E22">
        <v>12.621532999999999</v>
      </c>
      <c r="L22" t="s">
        <v>318</v>
      </c>
      <c r="M22" s="4">
        <v>0.79166666666666696</v>
      </c>
      <c r="N22">
        <v>12.622</v>
      </c>
      <c r="O22">
        <v>0</v>
      </c>
      <c r="P22">
        <v>0</v>
      </c>
      <c r="Q22">
        <v>12.621532999999999</v>
      </c>
      <c r="R22">
        <v>0</v>
      </c>
      <c r="S22">
        <v>0</v>
      </c>
      <c r="T22" s="1">
        <f>U22/U$1</f>
        <v>0.55065000000000064</v>
      </c>
      <c r="U22" s="2">
        <f t="shared" si="0"/>
        <v>55.065000000000069</v>
      </c>
    </row>
    <row r="23" spans="1:21" x14ac:dyDescent="0.2">
      <c r="A23" t="s">
        <v>319</v>
      </c>
      <c r="D23">
        <v>0</v>
      </c>
      <c r="E23">
        <v>12.736466</v>
      </c>
      <c r="L23" t="s">
        <v>319</v>
      </c>
      <c r="M23" s="4">
        <v>0.83333333333333304</v>
      </c>
      <c r="N23">
        <v>12.736000000000001</v>
      </c>
      <c r="O23">
        <v>0</v>
      </c>
      <c r="P23">
        <v>0</v>
      </c>
      <c r="Q23">
        <v>12.736466</v>
      </c>
      <c r="R23">
        <v>0</v>
      </c>
      <c r="S23">
        <v>0</v>
      </c>
      <c r="T23" s="1">
        <f>U23/U$1</f>
        <v>0.42329000000000067</v>
      </c>
      <c r="U23" s="2">
        <f t="shared" si="0"/>
        <v>42.329000000000065</v>
      </c>
    </row>
    <row r="24" spans="1:21" x14ac:dyDescent="0.2">
      <c r="A24" t="s">
        <v>320</v>
      </c>
      <c r="D24">
        <v>0</v>
      </c>
      <c r="E24">
        <v>12.468901000000001</v>
      </c>
      <c r="L24" t="s">
        <v>320</v>
      </c>
      <c r="M24" s="4">
        <v>0.875</v>
      </c>
      <c r="N24">
        <v>12.468999999999999</v>
      </c>
      <c r="O24">
        <v>0</v>
      </c>
      <c r="P24">
        <v>0</v>
      </c>
      <c r="Q24">
        <v>12.468901000000001</v>
      </c>
      <c r="R24">
        <v>0</v>
      </c>
      <c r="S24">
        <v>0</v>
      </c>
      <c r="T24" s="1">
        <f>U24/U$1</f>
        <v>0.29860000000000064</v>
      </c>
      <c r="U24" s="2">
        <f t="shared" si="0"/>
        <v>29.860000000000063</v>
      </c>
    </row>
    <row r="25" spans="1:21" x14ac:dyDescent="0.2">
      <c r="A25" t="s">
        <v>321</v>
      </c>
      <c r="D25">
        <v>0</v>
      </c>
      <c r="E25">
        <v>7.4641333000000003</v>
      </c>
      <c r="L25" t="s">
        <v>321</v>
      </c>
      <c r="M25" s="4">
        <v>0.91666666666666696</v>
      </c>
      <c r="N25">
        <v>7.4640000000000004</v>
      </c>
      <c r="O25">
        <v>0</v>
      </c>
      <c r="P25">
        <v>0</v>
      </c>
      <c r="Q25">
        <v>7.4641333000000003</v>
      </c>
      <c r="R25">
        <v>0</v>
      </c>
      <c r="S25">
        <v>0</v>
      </c>
      <c r="T25" s="1">
        <f>U25/U$1</f>
        <v>0.22396000000000066</v>
      </c>
      <c r="U25" s="2">
        <f t="shared" si="0"/>
        <v>22.396000000000065</v>
      </c>
    </row>
    <row r="26" spans="1:21" x14ac:dyDescent="0.2">
      <c r="A26" t="s">
        <v>322</v>
      </c>
      <c r="D26">
        <v>0</v>
      </c>
      <c r="E26">
        <v>12.0618</v>
      </c>
      <c r="L26" t="s">
        <v>322</v>
      </c>
      <c r="M26" s="4">
        <v>0.95833333333333304</v>
      </c>
      <c r="N26">
        <v>12.061999999999999</v>
      </c>
      <c r="O26">
        <v>0</v>
      </c>
      <c r="P26">
        <v>0</v>
      </c>
      <c r="Q26">
        <v>12.0618</v>
      </c>
      <c r="R26">
        <v>0</v>
      </c>
      <c r="S26">
        <v>0</v>
      </c>
      <c r="T26" s="1">
        <f>U26/U$1</f>
        <v>0.10334000000000065</v>
      </c>
      <c r="U26" s="2">
        <f t="shared" si="0"/>
        <v>10.334000000000065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X26"/>
  <sheetViews>
    <sheetView workbookViewId="0"/>
  </sheetViews>
  <sheetFormatPr baseColWidth="10" defaultColWidth="8.83203125" defaultRowHeight="15" x14ac:dyDescent="0.2"/>
  <sheetData>
    <row r="1" spans="1:24" x14ac:dyDescent="0.2">
      <c r="A1" t="s">
        <v>0</v>
      </c>
      <c r="D1" t="s">
        <v>1</v>
      </c>
      <c r="L1" t="s">
        <v>2</v>
      </c>
      <c r="R1" t="s">
        <v>3</v>
      </c>
      <c r="S1" s="1">
        <v>0.1033400000000005</v>
      </c>
      <c r="T1">
        <f>S1*V1</f>
        <v>10.334000000000049</v>
      </c>
      <c r="U1" t="s">
        <v>4</v>
      </c>
      <c r="V1">
        <v>100</v>
      </c>
      <c r="W1" t="s">
        <v>5</v>
      </c>
      <c r="X1" s="1">
        <v>0.1</v>
      </c>
    </row>
    <row r="2" spans="1:24" x14ac:dyDescent="0.2">
      <c r="A2" t="s">
        <v>6</v>
      </c>
      <c r="B2" t="s">
        <v>7</v>
      </c>
      <c r="C2" t="s">
        <v>8</v>
      </c>
      <c r="D2" t="s">
        <v>9</v>
      </c>
      <c r="E2" t="s">
        <v>10</v>
      </c>
      <c r="F2" t="s">
        <v>11</v>
      </c>
      <c r="G2" t="s">
        <v>12</v>
      </c>
      <c r="H2" t="s">
        <v>13</v>
      </c>
      <c r="I2" t="s">
        <v>14</v>
      </c>
      <c r="L2" t="s">
        <v>6</v>
      </c>
      <c r="M2" t="s">
        <v>7</v>
      </c>
      <c r="N2" t="s">
        <v>8</v>
      </c>
      <c r="O2" t="s">
        <v>9</v>
      </c>
      <c r="P2" t="s">
        <v>10</v>
      </c>
      <c r="Q2" t="s">
        <v>11</v>
      </c>
      <c r="R2" t="s">
        <v>12</v>
      </c>
      <c r="S2" t="s">
        <v>13</v>
      </c>
      <c r="T2" t="s">
        <v>14</v>
      </c>
      <c r="W2" t="s">
        <v>15</v>
      </c>
      <c r="X2" s="1">
        <v>1</v>
      </c>
    </row>
    <row r="3" spans="1:24" x14ac:dyDescent="0.2">
      <c r="A3" t="s">
        <v>323</v>
      </c>
      <c r="D3">
        <v>0</v>
      </c>
      <c r="E3">
        <v>11.960032999999999</v>
      </c>
      <c r="L3" t="s">
        <v>323</v>
      </c>
      <c r="M3">
        <v>0</v>
      </c>
      <c r="N3">
        <v>0</v>
      </c>
      <c r="O3">
        <v>0</v>
      </c>
      <c r="P3">
        <v>11.960032999999999</v>
      </c>
      <c r="Q3">
        <v>0</v>
      </c>
      <c r="R3">
        <v>11.960032999999999</v>
      </c>
      <c r="S3" s="1">
        <f t="shared" ref="S3:S26" si="0">T3/V$1</f>
        <v>0.10334000000000049</v>
      </c>
      <c r="T3" s="2">
        <f>T1-M3+N3</f>
        <v>10.334000000000049</v>
      </c>
    </row>
    <row r="4" spans="1:24" x14ac:dyDescent="0.2">
      <c r="A4" t="s">
        <v>324</v>
      </c>
      <c r="D4">
        <v>0</v>
      </c>
      <c r="E4">
        <v>12.3599</v>
      </c>
      <c r="L4" t="s">
        <v>324</v>
      </c>
      <c r="M4">
        <v>0.33400000000000002</v>
      </c>
      <c r="N4">
        <v>0</v>
      </c>
      <c r="O4">
        <v>0</v>
      </c>
      <c r="P4">
        <v>12.3599</v>
      </c>
      <c r="Q4">
        <v>0</v>
      </c>
      <c r="R4">
        <v>12.0259</v>
      </c>
      <c r="S4" s="1">
        <f t="shared" si="0"/>
        <v>0.10000000000000049</v>
      </c>
      <c r="T4" s="2">
        <f t="shared" ref="T4:T26" si="1">T3-M4+N4</f>
        <v>10.00000000000005</v>
      </c>
    </row>
    <row r="5" spans="1:24" x14ac:dyDescent="0.2">
      <c r="A5" t="s">
        <v>325</v>
      </c>
      <c r="D5">
        <v>0</v>
      </c>
      <c r="E5">
        <v>11.657999999999999</v>
      </c>
      <c r="L5" t="s">
        <v>325</v>
      </c>
      <c r="M5">
        <v>0</v>
      </c>
      <c r="N5">
        <v>0</v>
      </c>
      <c r="O5">
        <v>0</v>
      </c>
      <c r="P5">
        <v>11.657999999999999</v>
      </c>
      <c r="Q5">
        <v>0</v>
      </c>
      <c r="R5">
        <v>11.657999999999999</v>
      </c>
      <c r="S5" s="1">
        <f t="shared" si="0"/>
        <v>0.10000000000000049</v>
      </c>
      <c r="T5" s="2">
        <f t="shared" si="1"/>
        <v>10.00000000000005</v>
      </c>
    </row>
    <row r="6" spans="1:24" x14ac:dyDescent="0.2">
      <c r="A6" t="s">
        <v>326</v>
      </c>
      <c r="D6">
        <v>0</v>
      </c>
      <c r="E6">
        <v>5.4360999999999997</v>
      </c>
      <c r="L6" t="s">
        <v>326</v>
      </c>
      <c r="M6">
        <v>0</v>
      </c>
      <c r="N6">
        <v>0</v>
      </c>
      <c r="O6">
        <v>0</v>
      </c>
      <c r="P6">
        <v>5.4360999999999997</v>
      </c>
      <c r="Q6">
        <v>0</v>
      </c>
      <c r="R6">
        <v>5.4360999999999997</v>
      </c>
      <c r="S6" s="1">
        <f t="shared" si="0"/>
        <v>0.10000000000000049</v>
      </c>
      <c r="T6" s="2">
        <f t="shared" si="1"/>
        <v>10.00000000000005</v>
      </c>
      <c r="V6" t="s">
        <v>20</v>
      </c>
      <c r="W6" t="s">
        <v>327</v>
      </c>
    </row>
    <row r="7" spans="1:24" x14ac:dyDescent="0.2">
      <c r="A7" t="s">
        <v>328</v>
      </c>
      <c r="D7">
        <v>0</v>
      </c>
      <c r="E7">
        <v>7.2670500000000002</v>
      </c>
      <c r="L7" t="s">
        <v>328</v>
      </c>
      <c r="M7">
        <v>0</v>
      </c>
      <c r="N7">
        <v>0</v>
      </c>
      <c r="O7">
        <v>0</v>
      </c>
      <c r="P7">
        <v>7.2670500000000002</v>
      </c>
      <c r="Q7">
        <v>0</v>
      </c>
      <c r="R7">
        <v>7.2670500000000002</v>
      </c>
      <c r="S7" s="1">
        <f t="shared" si="0"/>
        <v>0.10000000000000049</v>
      </c>
      <c r="T7" s="2">
        <f t="shared" si="1"/>
        <v>10.00000000000005</v>
      </c>
      <c r="V7" t="s">
        <v>23</v>
      </c>
      <c r="W7" t="s">
        <v>253</v>
      </c>
    </row>
    <row r="8" spans="1:24" x14ac:dyDescent="0.2">
      <c r="A8" t="s">
        <v>329</v>
      </c>
      <c r="D8">
        <v>0</v>
      </c>
      <c r="E8">
        <v>7.0663999999999998</v>
      </c>
      <c r="L8" t="s">
        <v>329</v>
      </c>
      <c r="M8">
        <v>0</v>
      </c>
      <c r="N8">
        <v>0</v>
      </c>
      <c r="O8">
        <v>0</v>
      </c>
      <c r="P8">
        <v>7.0663999999999998</v>
      </c>
      <c r="Q8">
        <v>0</v>
      </c>
      <c r="R8">
        <v>7.0663999999999998</v>
      </c>
      <c r="S8" s="1">
        <f t="shared" si="0"/>
        <v>0.10000000000000049</v>
      </c>
      <c r="T8" s="2">
        <f t="shared" si="1"/>
        <v>10.00000000000005</v>
      </c>
      <c r="V8" t="s">
        <v>26</v>
      </c>
      <c r="W8">
        <v>8.1000000000000003E-2</v>
      </c>
    </row>
    <row r="9" spans="1:24" x14ac:dyDescent="0.2">
      <c r="A9" t="s">
        <v>330</v>
      </c>
      <c r="D9">
        <v>0</v>
      </c>
      <c r="E9">
        <v>7.0933000000000002</v>
      </c>
      <c r="L9" t="s">
        <v>330</v>
      </c>
      <c r="M9">
        <v>0</v>
      </c>
      <c r="N9">
        <v>0</v>
      </c>
      <c r="O9">
        <v>0</v>
      </c>
      <c r="P9">
        <v>7.0933000000000002</v>
      </c>
      <c r="Q9">
        <v>0</v>
      </c>
      <c r="R9">
        <v>7.0933000000000002</v>
      </c>
      <c r="S9" s="1">
        <f t="shared" si="0"/>
        <v>0.10000000000000049</v>
      </c>
      <c r="T9" s="2">
        <f t="shared" si="1"/>
        <v>10.00000000000005</v>
      </c>
      <c r="V9" t="s">
        <v>28</v>
      </c>
      <c r="W9">
        <f>W8/60</f>
        <v>1.3500000000000001E-3</v>
      </c>
    </row>
    <row r="10" spans="1:24" x14ac:dyDescent="0.2">
      <c r="A10" t="s">
        <v>331</v>
      </c>
      <c r="D10">
        <v>3.4263002999999999</v>
      </c>
      <c r="E10">
        <v>7.9339000000000004</v>
      </c>
      <c r="L10" t="s">
        <v>331</v>
      </c>
      <c r="M10">
        <v>0</v>
      </c>
      <c r="N10">
        <v>0</v>
      </c>
      <c r="O10">
        <v>3.4263002999999999</v>
      </c>
      <c r="P10">
        <v>7.9339000000000004</v>
      </c>
      <c r="Q10">
        <v>0</v>
      </c>
      <c r="R10">
        <v>4.5075997000000001</v>
      </c>
      <c r="S10" s="1">
        <f t="shared" si="0"/>
        <v>0.10000000000000049</v>
      </c>
      <c r="T10" s="2">
        <f t="shared" si="1"/>
        <v>10.00000000000005</v>
      </c>
    </row>
    <row r="11" spans="1:24" x14ac:dyDescent="0.2">
      <c r="A11" t="s">
        <v>332</v>
      </c>
      <c r="D11">
        <v>13.254434</v>
      </c>
      <c r="E11">
        <v>9.9622670000000006</v>
      </c>
      <c r="L11" t="s">
        <v>332</v>
      </c>
      <c r="M11">
        <v>0</v>
      </c>
      <c r="N11">
        <v>0</v>
      </c>
      <c r="O11">
        <v>13.254434</v>
      </c>
      <c r="P11">
        <v>9.9622670000000006</v>
      </c>
      <c r="Q11">
        <v>3.2921669999999992</v>
      </c>
      <c r="R11">
        <v>0</v>
      </c>
      <c r="S11" s="1">
        <f t="shared" si="0"/>
        <v>0.10000000000000049</v>
      </c>
      <c r="T11" s="2">
        <f t="shared" si="1"/>
        <v>10.00000000000005</v>
      </c>
    </row>
    <row r="12" spans="1:24" x14ac:dyDescent="0.2">
      <c r="A12" t="s">
        <v>333</v>
      </c>
      <c r="D12">
        <v>27.751159999999999</v>
      </c>
      <c r="E12">
        <v>11.546450999999999</v>
      </c>
      <c r="L12" t="s">
        <v>333</v>
      </c>
      <c r="M12">
        <v>0</v>
      </c>
      <c r="N12">
        <v>16.204999999999998</v>
      </c>
      <c r="O12">
        <v>27.751159999999999</v>
      </c>
      <c r="P12">
        <v>11.546450999999999</v>
      </c>
      <c r="Q12">
        <v>0</v>
      </c>
      <c r="R12">
        <v>0</v>
      </c>
      <c r="S12" s="1">
        <f t="shared" si="0"/>
        <v>0.2620500000000005</v>
      </c>
      <c r="T12" s="2">
        <f t="shared" si="1"/>
        <v>26.205000000000048</v>
      </c>
    </row>
    <row r="13" spans="1:24" x14ac:dyDescent="0.2">
      <c r="A13" t="s">
        <v>334</v>
      </c>
      <c r="D13">
        <v>37.831325999999997</v>
      </c>
      <c r="E13">
        <v>12.360849</v>
      </c>
      <c r="L13" t="s">
        <v>334</v>
      </c>
      <c r="M13">
        <v>0</v>
      </c>
      <c r="N13">
        <v>0</v>
      </c>
      <c r="O13">
        <v>37.831325999999997</v>
      </c>
      <c r="P13">
        <v>12.360849</v>
      </c>
      <c r="Q13">
        <v>25.470476999999999</v>
      </c>
      <c r="R13">
        <v>0</v>
      </c>
      <c r="S13" s="1">
        <f t="shared" si="0"/>
        <v>0.2620500000000005</v>
      </c>
      <c r="T13" s="2">
        <f t="shared" si="1"/>
        <v>26.205000000000048</v>
      </c>
    </row>
    <row r="14" spans="1:24" x14ac:dyDescent="0.2">
      <c r="A14" t="s">
        <v>335</v>
      </c>
      <c r="D14">
        <v>44.768967000000004</v>
      </c>
      <c r="E14">
        <v>12.232699999999999</v>
      </c>
      <c r="L14" t="s">
        <v>335</v>
      </c>
      <c r="M14">
        <v>0</v>
      </c>
      <c r="N14">
        <v>32.536000000000001</v>
      </c>
      <c r="O14">
        <v>44.768967000000004</v>
      </c>
      <c r="P14">
        <v>12.232699999999999</v>
      </c>
      <c r="Q14">
        <v>0</v>
      </c>
      <c r="R14">
        <v>0</v>
      </c>
      <c r="S14" s="1">
        <f t="shared" si="0"/>
        <v>0.58741000000000054</v>
      </c>
      <c r="T14" s="2">
        <f t="shared" si="1"/>
        <v>58.741000000000049</v>
      </c>
    </row>
    <row r="15" spans="1:24" x14ac:dyDescent="0.2">
      <c r="A15" t="s">
        <v>336</v>
      </c>
      <c r="D15">
        <v>47.277850000000001</v>
      </c>
      <c r="E15">
        <v>12.11035</v>
      </c>
      <c r="L15" t="s">
        <v>336</v>
      </c>
      <c r="M15">
        <v>0</v>
      </c>
      <c r="N15">
        <v>17.289000000000001</v>
      </c>
      <c r="O15">
        <v>47.277850000000001</v>
      </c>
      <c r="P15">
        <v>12.11035</v>
      </c>
      <c r="Q15">
        <v>17.878499999999999</v>
      </c>
      <c r="R15">
        <v>0</v>
      </c>
      <c r="S15" s="1">
        <f t="shared" si="0"/>
        <v>0.76030000000000053</v>
      </c>
      <c r="T15" s="2">
        <f t="shared" si="1"/>
        <v>76.030000000000058</v>
      </c>
    </row>
    <row r="16" spans="1:24" x14ac:dyDescent="0.2">
      <c r="A16" t="s">
        <v>337</v>
      </c>
      <c r="D16">
        <v>45.326447000000002</v>
      </c>
      <c r="E16">
        <v>11.988</v>
      </c>
      <c r="L16" t="s">
        <v>337</v>
      </c>
      <c r="M16">
        <v>0</v>
      </c>
      <c r="N16">
        <v>0</v>
      </c>
      <c r="O16">
        <v>45.326447000000002</v>
      </c>
      <c r="P16">
        <v>11.988</v>
      </c>
      <c r="Q16">
        <v>33.338447000000002</v>
      </c>
      <c r="R16">
        <v>0</v>
      </c>
      <c r="S16" s="1">
        <f t="shared" si="0"/>
        <v>0.76030000000000053</v>
      </c>
      <c r="T16" s="2">
        <f t="shared" si="1"/>
        <v>76.030000000000058</v>
      </c>
    </row>
    <row r="17" spans="1:20" x14ac:dyDescent="0.2">
      <c r="A17" t="s">
        <v>338</v>
      </c>
      <c r="D17">
        <v>41.923200000000001</v>
      </c>
      <c r="E17">
        <v>12.438620999999999</v>
      </c>
      <c r="L17" t="s">
        <v>338</v>
      </c>
      <c r="M17">
        <v>0</v>
      </c>
      <c r="N17">
        <v>0</v>
      </c>
      <c r="O17">
        <v>41.923200000000001</v>
      </c>
      <c r="P17">
        <v>12.438620999999999</v>
      </c>
      <c r="Q17">
        <v>29.484579</v>
      </c>
      <c r="R17">
        <v>0</v>
      </c>
      <c r="S17" s="1">
        <f t="shared" si="0"/>
        <v>0.76030000000000053</v>
      </c>
      <c r="T17" s="2">
        <f t="shared" si="1"/>
        <v>76.030000000000058</v>
      </c>
    </row>
    <row r="18" spans="1:20" x14ac:dyDescent="0.2">
      <c r="A18" t="s">
        <v>339</v>
      </c>
      <c r="D18">
        <v>36.859237999999998</v>
      </c>
      <c r="E18">
        <v>12.889239999999999</v>
      </c>
      <c r="L18" t="s">
        <v>339</v>
      </c>
      <c r="M18">
        <v>0</v>
      </c>
      <c r="N18">
        <v>23.97</v>
      </c>
      <c r="O18">
        <v>36.859237999999998</v>
      </c>
      <c r="P18">
        <v>12.889239999999999</v>
      </c>
      <c r="Q18">
        <v>0</v>
      </c>
      <c r="R18">
        <v>0</v>
      </c>
      <c r="S18" s="1">
        <f t="shared" si="0"/>
        <v>1.0000000000000007</v>
      </c>
      <c r="T18" s="2">
        <f t="shared" si="1"/>
        <v>100.00000000000006</v>
      </c>
    </row>
    <row r="19" spans="1:20" x14ac:dyDescent="0.2">
      <c r="A19" t="s">
        <v>340</v>
      </c>
      <c r="D19">
        <v>24.946375</v>
      </c>
      <c r="E19">
        <v>13.4617</v>
      </c>
      <c r="L19" t="s">
        <v>340</v>
      </c>
      <c r="M19">
        <v>0</v>
      </c>
      <c r="N19">
        <v>0</v>
      </c>
      <c r="O19">
        <v>24.946375</v>
      </c>
      <c r="P19">
        <v>13.4617</v>
      </c>
      <c r="Q19">
        <v>11.484674999999999</v>
      </c>
      <c r="R19">
        <v>0</v>
      </c>
      <c r="S19" s="1">
        <f t="shared" si="0"/>
        <v>1.0000000000000007</v>
      </c>
      <c r="T19" s="2">
        <f t="shared" si="1"/>
        <v>100.00000000000006</v>
      </c>
    </row>
    <row r="20" spans="1:20" x14ac:dyDescent="0.2">
      <c r="A20" t="s">
        <v>341</v>
      </c>
      <c r="D20">
        <v>11.394</v>
      </c>
      <c r="E20">
        <v>10.521032999999999</v>
      </c>
      <c r="L20" t="s">
        <v>341</v>
      </c>
      <c r="M20">
        <v>0</v>
      </c>
      <c r="N20">
        <v>0</v>
      </c>
      <c r="O20">
        <v>11.394</v>
      </c>
      <c r="P20">
        <v>10.521032999999999</v>
      </c>
      <c r="Q20">
        <v>0.87296700000000094</v>
      </c>
      <c r="R20">
        <v>0</v>
      </c>
      <c r="S20" s="1">
        <f t="shared" si="0"/>
        <v>1.0000000000000007</v>
      </c>
      <c r="T20" s="2">
        <f t="shared" si="1"/>
        <v>100.00000000000006</v>
      </c>
    </row>
    <row r="21" spans="1:20" x14ac:dyDescent="0.2">
      <c r="A21" t="s">
        <v>342</v>
      </c>
      <c r="D21">
        <v>1.3132007000000001</v>
      </c>
      <c r="E21">
        <v>6.8049499999999998</v>
      </c>
      <c r="L21" t="s">
        <v>342</v>
      </c>
      <c r="M21">
        <v>5.492</v>
      </c>
      <c r="N21">
        <v>0</v>
      </c>
      <c r="O21">
        <v>1.3132007000000001</v>
      </c>
      <c r="P21">
        <v>6.8049499999999998</v>
      </c>
      <c r="Q21">
        <v>0</v>
      </c>
      <c r="R21">
        <v>0</v>
      </c>
      <c r="S21" s="1">
        <f t="shared" si="0"/>
        <v>0.94508000000000048</v>
      </c>
      <c r="T21" s="2">
        <f t="shared" si="1"/>
        <v>94.508000000000052</v>
      </c>
    </row>
    <row r="22" spans="1:20" x14ac:dyDescent="0.2">
      <c r="A22" t="s">
        <v>343</v>
      </c>
      <c r="D22">
        <v>3.007955E-2</v>
      </c>
      <c r="E22">
        <v>12.156234</v>
      </c>
      <c r="L22" t="s">
        <v>343</v>
      </c>
      <c r="M22">
        <v>12.125999999999999</v>
      </c>
      <c r="N22">
        <v>0</v>
      </c>
      <c r="O22">
        <v>3.007955E-2</v>
      </c>
      <c r="P22">
        <v>12.156234</v>
      </c>
      <c r="Q22">
        <v>0</v>
      </c>
      <c r="R22">
        <v>0</v>
      </c>
      <c r="S22" s="1">
        <f t="shared" si="0"/>
        <v>0.82382000000000044</v>
      </c>
      <c r="T22" s="2">
        <f t="shared" si="1"/>
        <v>82.382000000000048</v>
      </c>
    </row>
    <row r="23" spans="1:20" x14ac:dyDescent="0.2">
      <c r="A23" t="s">
        <v>344</v>
      </c>
      <c r="D23">
        <v>0</v>
      </c>
      <c r="E23">
        <v>12.072749999999999</v>
      </c>
      <c r="L23" t="s">
        <v>344</v>
      </c>
      <c r="M23">
        <v>12.073</v>
      </c>
      <c r="N23">
        <v>0</v>
      </c>
      <c r="O23">
        <v>0</v>
      </c>
      <c r="P23">
        <v>12.072749999999999</v>
      </c>
      <c r="Q23">
        <v>0</v>
      </c>
      <c r="R23">
        <v>0</v>
      </c>
      <c r="S23" s="1">
        <f t="shared" si="0"/>
        <v>0.70309000000000055</v>
      </c>
      <c r="T23" s="2">
        <f t="shared" si="1"/>
        <v>70.309000000000054</v>
      </c>
    </row>
    <row r="24" spans="1:20" x14ac:dyDescent="0.2">
      <c r="A24" t="s">
        <v>345</v>
      </c>
      <c r="D24">
        <v>0</v>
      </c>
      <c r="E24">
        <v>12.072749999999999</v>
      </c>
      <c r="L24" t="s">
        <v>345</v>
      </c>
      <c r="M24">
        <v>12.073</v>
      </c>
      <c r="N24">
        <v>0</v>
      </c>
      <c r="O24">
        <v>0</v>
      </c>
      <c r="P24">
        <v>12.072749999999999</v>
      </c>
      <c r="Q24">
        <v>0</v>
      </c>
      <c r="R24">
        <v>0</v>
      </c>
      <c r="S24" s="1">
        <f t="shared" si="0"/>
        <v>0.58236000000000054</v>
      </c>
      <c r="T24" s="2">
        <f t="shared" si="1"/>
        <v>58.236000000000054</v>
      </c>
    </row>
    <row r="25" spans="1:20" x14ac:dyDescent="0.2">
      <c r="A25" t="s">
        <v>346</v>
      </c>
      <c r="D25">
        <v>0</v>
      </c>
      <c r="E25">
        <v>9.2003000000000004</v>
      </c>
      <c r="L25" t="s">
        <v>346</v>
      </c>
      <c r="M25">
        <v>9.1999999999999993</v>
      </c>
      <c r="N25">
        <v>0</v>
      </c>
      <c r="O25">
        <v>0</v>
      </c>
      <c r="P25">
        <v>9.2003000000000004</v>
      </c>
      <c r="Q25">
        <v>0</v>
      </c>
      <c r="R25">
        <v>0</v>
      </c>
      <c r="S25" s="1">
        <f t="shared" si="0"/>
        <v>0.49036000000000057</v>
      </c>
      <c r="T25" s="2">
        <f t="shared" si="1"/>
        <v>49.036000000000058</v>
      </c>
    </row>
    <row r="26" spans="1:20" x14ac:dyDescent="0.2">
      <c r="A26" t="s">
        <v>347</v>
      </c>
      <c r="D26">
        <v>0</v>
      </c>
      <c r="E26">
        <v>11.82</v>
      </c>
      <c r="L26" t="s">
        <v>347</v>
      </c>
      <c r="M26">
        <v>11.82</v>
      </c>
      <c r="N26">
        <v>0</v>
      </c>
      <c r="O26">
        <v>0</v>
      </c>
      <c r="P26">
        <v>11.82</v>
      </c>
      <c r="Q26">
        <v>0</v>
      </c>
      <c r="R26">
        <v>0</v>
      </c>
      <c r="S26" s="1">
        <f t="shared" si="0"/>
        <v>0.3721600000000006</v>
      </c>
      <c r="T26" s="2">
        <f t="shared" si="1"/>
        <v>37.216000000000058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X26"/>
  <sheetViews>
    <sheetView workbookViewId="0"/>
  </sheetViews>
  <sheetFormatPr baseColWidth="10" defaultColWidth="8.83203125" defaultRowHeight="15" x14ac:dyDescent="0.2"/>
  <sheetData>
    <row r="1" spans="1:24" x14ac:dyDescent="0.2">
      <c r="A1" t="s">
        <v>0</v>
      </c>
      <c r="D1" t="s">
        <v>1</v>
      </c>
      <c r="L1" t="s">
        <v>2</v>
      </c>
      <c r="R1" t="s">
        <v>3</v>
      </c>
      <c r="S1" s="1">
        <v>0.3721600000000006</v>
      </c>
      <c r="T1">
        <f>S1*V1</f>
        <v>37.216000000000058</v>
      </c>
      <c r="U1" t="s">
        <v>4</v>
      </c>
      <c r="V1">
        <v>100</v>
      </c>
      <c r="W1" t="s">
        <v>5</v>
      </c>
      <c r="X1" s="1">
        <v>0.1</v>
      </c>
    </row>
    <row r="2" spans="1:24" x14ac:dyDescent="0.2">
      <c r="A2" t="s">
        <v>6</v>
      </c>
      <c r="B2" t="s">
        <v>7</v>
      </c>
      <c r="C2" t="s">
        <v>8</v>
      </c>
      <c r="D2" t="s">
        <v>9</v>
      </c>
      <c r="E2" t="s">
        <v>10</v>
      </c>
      <c r="F2" t="s">
        <v>11</v>
      </c>
      <c r="G2" t="s">
        <v>12</v>
      </c>
      <c r="H2" t="s">
        <v>13</v>
      </c>
      <c r="I2" t="s">
        <v>14</v>
      </c>
      <c r="L2" t="s">
        <v>6</v>
      </c>
      <c r="M2" t="s">
        <v>7</v>
      </c>
      <c r="N2" t="s">
        <v>8</v>
      </c>
      <c r="O2" t="s">
        <v>9</v>
      </c>
      <c r="P2" t="s">
        <v>10</v>
      </c>
      <c r="Q2" t="s">
        <v>11</v>
      </c>
      <c r="R2" t="s">
        <v>12</v>
      </c>
      <c r="S2" t="s">
        <v>13</v>
      </c>
      <c r="T2" t="s">
        <v>14</v>
      </c>
      <c r="W2" t="s">
        <v>15</v>
      </c>
      <c r="X2" s="1">
        <v>1</v>
      </c>
    </row>
    <row r="3" spans="1:24" x14ac:dyDescent="0.2">
      <c r="A3" t="s">
        <v>348</v>
      </c>
      <c r="D3">
        <v>0</v>
      </c>
      <c r="E3">
        <v>12.154401</v>
      </c>
      <c r="L3" t="s">
        <v>348</v>
      </c>
      <c r="M3">
        <v>1.024</v>
      </c>
      <c r="N3">
        <v>0</v>
      </c>
      <c r="O3">
        <v>0</v>
      </c>
      <c r="P3">
        <v>12.154401</v>
      </c>
      <c r="Q3">
        <v>0</v>
      </c>
      <c r="R3">
        <v>11.130401000000001</v>
      </c>
      <c r="S3" s="1">
        <f t="shared" ref="S3:S26" si="0">T3/V$1</f>
        <v>0.36192000000000057</v>
      </c>
      <c r="T3" s="2">
        <f>T1-M3+N3</f>
        <v>36.192000000000057</v>
      </c>
    </row>
    <row r="4" spans="1:24" x14ac:dyDescent="0.2">
      <c r="A4" t="s">
        <v>349</v>
      </c>
      <c r="D4">
        <v>0</v>
      </c>
      <c r="E4">
        <v>11.891325</v>
      </c>
      <c r="L4" t="s">
        <v>349</v>
      </c>
      <c r="M4">
        <v>0</v>
      </c>
      <c r="N4">
        <v>0</v>
      </c>
      <c r="O4">
        <v>0</v>
      </c>
      <c r="P4">
        <v>11.891325</v>
      </c>
      <c r="Q4">
        <v>0</v>
      </c>
      <c r="R4">
        <v>11.891325</v>
      </c>
      <c r="S4" s="1">
        <f t="shared" si="0"/>
        <v>0.36192000000000057</v>
      </c>
      <c r="T4" s="2">
        <f t="shared" ref="T4:T26" si="1">T3-M4+N4</f>
        <v>36.192000000000057</v>
      </c>
    </row>
    <row r="5" spans="1:24" x14ac:dyDescent="0.2">
      <c r="A5" t="s">
        <v>350</v>
      </c>
      <c r="D5">
        <v>0</v>
      </c>
      <c r="E5">
        <v>11.631700500000001</v>
      </c>
      <c r="L5" t="s">
        <v>350</v>
      </c>
      <c r="M5">
        <v>11.632</v>
      </c>
      <c r="N5">
        <v>0</v>
      </c>
      <c r="O5">
        <v>0</v>
      </c>
      <c r="P5">
        <v>11.631700500000001</v>
      </c>
      <c r="Q5">
        <v>0</v>
      </c>
      <c r="R5">
        <v>0</v>
      </c>
      <c r="S5" s="1">
        <f t="shared" si="0"/>
        <v>0.2456000000000006</v>
      </c>
      <c r="T5" s="2">
        <f t="shared" si="1"/>
        <v>24.560000000000059</v>
      </c>
    </row>
    <row r="6" spans="1:24" x14ac:dyDescent="0.2">
      <c r="A6" t="s">
        <v>351</v>
      </c>
      <c r="D6">
        <v>0</v>
      </c>
      <c r="E6">
        <v>8.8635999999999999</v>
      </c>
      <c r="L6" t="s">
        <v>351</v>
      </c>
      <c r="M6">
        <v>0</v>
      </c>
      <c r="N6">
        <v>0</v>
      </c>
      <c r="O6">
        <v>0</v>
      </c>
      <c r="P6">
        <v>8.8635999999999999</v>
      </c>
      <c r="Q6">
        <v>0</v>
      </c>
      <c r="R6">
        <v>8.8635999999999999</v>
      </c>
      <c r="S6" s="1">
        <f t="shared" si="0"/>
        <v>0.2456000000000006</v>
      </c>
      <c r="T6" s="2">
        <f t="shared" si="1"/>
        <v>24.560000000000059</v>
      </c>
      <c r="V6" t="s">
        <v>20</v>
      </c>
      <c r="W6" t="s">
        <v>352</v>
      </c>
    </row>
    <row r="7" spans="1:24" x14ac:dyDescent="0.2">
      <c r="A7" t="s">
        <v>353</v>
      </c>
      <c r="D7">
        <v>0</v>
      </c>
      <c r="E7">
        <v>4.8281000000000001</v>
      </c>
      <c r="L7" t="s">
        <v>353</v>
      </c>
      <c r="M7">
        <v>0</v>
      </c>
      <c r="N7">
        <v>0</v>
      </c>
      <c r="O7">
        <v>0</v>
      </c>
      <c r="P7">
        <v>4.8281000000000001</v>
      </c>
      <c r="Q7">
        <v>0</v>
      </c>
      <c r="R7">
        <v>4.8281000000000001</v>
      </c>
      <c r="S7" s="1">
        <f t="shared" si="0"/>
        <v>0.2456000000000006</v>
      </c>
      <c r="T7" s="2">
        <f t="shared" si="1"/>
        <v>24.560000000000059</v>
      </c>
      <c r="V7" t="s">
        <v>23</v>
      </c>
      <c r="W7" t="s">
        <v>127</v>
      </c>
    </row>
    <row r="8" spans="1:24" x14ac:dyDescent="0.2">
      <c r="A8" t="s">
        <v>354</v>
      </c>
      <c r="D8">
        <v>0</v>
      </c>
      <c r="E8">
        <v>7.3715333999999997</v>
      </c>
      <c r="L8" t="s">
        <v>354</v>
      </c>
      <c r="M8">
        <v>7.3719999999999999</v>
      </c>
      <c r="N8">
        <v>0</v>
      </c>
      <c r="O8">
        <v>0</v>
      </c>
      <c r="P8">
        <v>7.3715333999999997</v>
      </c>
      <c r="Q8">
        <v>0</v>
      </c>
      <c r="R8">
        <v>0</v>
      </c>
      <c r="S8" s="1">
        <f t="shared" si="0"/>
        <v>0.17188000000000059</v>
      </c>
      <c r="T8" s="2">
        <f t="shared" si="1"/>
        <v>17.188000000000059</v>
      </c>
      <c r="V8" t="s">
        <v>26</v>
      </c>
      <c r="W8">
        <v>8.3000000000000004E-2</v>
      </c>
    </row>
    <row r="9" spans="1:24" x14ac:dyDescent="0.2">
      <c r="A9" t="s">
        <v>355</v>
      </c>
      <c r="D9">
        <v>0</v>
      </c>
      <c r="E9">
        <v>7.1884800000000002</v>
      </c>
      <c r="L9" t="s">
        <v>355</v>
      </c>
      <c r="M9">
        <v>7.1879999999999997</v>
      </c>
      <c r="N9">
        <v>0</v>
      </c>
      <c r="O9">
        <v>0</v>
      </c>
      <c r="P9">
        <v>7.1884800000000002</v>
      </c>
      <c r="Q9">
        <v>0</v>
      </c>
      <c r="R9">
        <v>0</v>
      </c>
      <c r="S9" s="1">
        <f t="shared" si="0"/>
        <v>0.1000000000000006</v>
      </c>
      <c r="T9" s="2">
        <f t="shared" si="1"/>
        <v>10.00000000000006</v>
      </c>
      <c r="V9" t="s">
        <v>28</v>
      </c>
      <c r="W9">
        <f>W8/60</f>
        <v>1.3833333333333334E-3</v>
      </c>
    </row>
    <row r="10" spans="1:24" x14ac:dyDescent="0.2">
      <c r="A10" t="s">
        <v>356</v>
      </c>
      <c r="D10">
        <v>2.8885999999999998</v>
      </c>
      <c r="E10">
        <v>7.1599399999999997</v>
      </c>
      <c r="L10" t="s">
        <v>356</v>
      </c>
      <c r="M10">
        <v>0</v>
      </c>
      <c r="N10">
        <v>0</v>
      </c>
      <c r="O10">
        <v>2.8885999999999998</v>
      </c>
      <c r="P10">
        <v>7.1599399999999997</v>
      </c>
      <c r="Q10">
        <v>0</v>
      </c>
      <c r="R10">
        <v>4.2713400000000004</v>
      </c>
      <c r="S10" s="1">
        <f t="shared" si="0"/>
        <v>0.1000000000000006</v>
      </c>
      <c r="T10" s="2">
        <f t="shared" si="1"/>
        <v>10.00000000000006</v>
      </c>
    </row>
    <row r="11" spans="1:24" x14ac:dyDescent="0.2">
      <c r="A11" t="s">
        <v>357</v>
      </c>
      <c r="D11">
        <v>14.751599000000001</v>
      </c>
      <c r="E11">
        <v>7.1314000000000002</v>
      </c>
      <c r="L11" t="s">
        <v>357</v>
      </c>
      <c r="M11">
        <v>0</v>
      </c>
      <c r="N11">
        <v>7.62</v>
      </c>
      <c r="O11">
        <v>14.751599000000001</v>
      </c>
      <c r="P11">
        <v>7.1314000000000002</v>
      </c>
      <c r="Q11">
        <v>0</v>
      </c>
      <c r="R11">
        <v>0</v>
      </c>
      <c r="S11" s="1">
        <f t="shared" si="0"/>
        <v>0.17620000000000061</v>
      </c>
      <c r="T11" s="2">
        <f t="shared" si="1"/>
        <v>17.620000000000061</v>
      </c>
    </row>
    <row r="12" spans="1:24" x14ac:dyDescent="0.2">
      <c r="A12" t="s">
        <v>358</v>
      </c>
      <c r="D12">
        <v>28.17925</v>
      </c>
      <c r="E12">
        <v>9.407</v>
      </c>
      <c r="L12" t="s">
        <v>358</v>
      </c>
      <c r="M12">
        <v>0</v>
      </c>
      <c r="N12">
        <v>18.771999999999998</v>
      </c>
      <c r="O12">
        <v>28.17925</v>
      </c>
      <c r="P12">
        <v>9.407</v>
      </c>
      <c r="Q12">
        <v>0</v>
      </c>
      <c r="R12">
        <v>0</v>
      </c>
      <c r="S12" s="1">
        <f t="shared" si="0"/>
        <v>0.36392000000000058</v>
      </c>
      <c r="T12" s="2">
        <f t="shared" si="1"/>
        <v>36.39200000000006</v>
      </c>
    </row>
    <row r="13" spans="1:24" x14ac:dyDescent="0.2">
      <c r="A13" t="s">
        <v>359</v>
      </c>
      <c r="D13">
        <v>38.774520000000003</v>
      </c>
      <c r="E13">
        <v>9.2829499999999996</v>
      </c>
      <c r="L13" t="s">
        <v>359</v>
      </c>
      <c r="M13">
        <v>0</v>
      </c>
      <c r="N13">
        <v>17.306999999999999</v>
      </c>
      <c r="O13">
        <v>38.774520000000003</v>
      </c>
      <c r="P13">
        <v>9.2829499999999996</v>
      </c>
      <c r="Q13">
        <v>12.184570000000001</v>
      </c>
      <c r="R13">
        <v>0</v>
      </c>
      <c r="S13" s="1">
        <f t="shared" si="0"/>
        <v>0.53699000000000052</v>
      </c>
      <c r="T13" s="2">
        <f t="shared" si="1"/>
        <v>53.699000000000055</v>
      </c>
    </row>
    <row r="14" spans="1:24" x14ac:dyDescent="0.2">
      <c r="A14" t="s">
        <v>360</v>
      </c>
      <c r="D14">
        <v>44.746464000000003</v>
      </c>
      <c r="E14">
        <v>9.4001999999999999</v>
      </c>
      <c r="L14" t="s">
        <v>360</v>
      </c>
      <c r="M14">
        <v>0</v>
      </c>
      <c r="N14">
        <v>0</v>
      </c>
      <c r="O14">
        <v>44.746464000000003</v>
      </c>
      <c r="P14">
        <v>9.4001999999999999</v>
      </c>
      <c r="Q14">
        <v>35.346264000000012</v>
      </c>
      <c r="R14">
        <v>0</v>
      </c>
      <c r="S14" s="1">
        <f t="shared" si="0"/>
        <v>0.53699000000000052</v>
      </c>
      <c r="T14" s="2">
        <f t="shared" si="1"/>
        <v>53.699000000000055</v>
      </c>
    </row>
    <row r="15" spans="1:24" x14ac:dyDescent="0.2">
      <c r="A15" t="s">
        <v>361</v>
      </c>
      <c r="D15">
        <v>47.130699999999997</v>
      </c>
      <c r="E15">
        <v>9.3789999999999996</v>
      </c>
      <c r="L15" t="s">
        <v>361</v>
      </c>
      <c r="M15">
        <v>0</v>
      </c>
      <c r="N15">
        <v>0</v>
      </c>
      <c r="O15">
        <v>47.130699999999997</v>
      </c>
      <c r="P15">
        <v>9.3789999999999996</v>
      </c>
      <c r="Q15">
        <v>37.7517</v>
      </c>
      <c r="R15">
        <v>0</v>
      </c>
      <c r="S15" s="1">
        <f t="shared" si="0"/>
        <v>0.53699000000000052</v>
      </c>
      <c r="T15" s="2">
        <f t="shared" si="1"/>
        <v>53.699000000000055</v>
      </c>
    </row>
    <row r="16" spans="1:24" x14ac:dyDescent="0.2">
      <c r="A16" t="s">
        <v>362</v>
      </c>
      <c r="D16">
        <v>46.789940000000001</v>
      </c>
      <c r="E16">
        <v>9.4431504999999998</v>
      </c>
      <c r="L16" t="s">
        <v>362</v>
      </c>
      <c r="M16">
        <v>0</v>
      </c>
      <c r="N16">
        <v>0</v>
      </c>
      <c r="O16">
        <v>46.789940000000001</v>
      </c>
      <c r="P16">
        <v>9.4431504999999998</v>
      </c>
      <c r="Q16">
        <v>37.3467895</v>
      </c>
      <c r="R16">
        <v>0</v>
      </c>
      <c r="S16" s="1">
        <f t="shared" si="0"/>
        <v>0.53699000000000052</v>
      </c>
      <c r="T16" s="2">
        <f t="shared" si="1"/>
        <v>53.699000000000055</v>
      </c>
    </row>
    <row r="17" spans="1:20" x14ac:dyDescent="0.2">
      <c r="A17" t="s">
        <v>363</v>
      </c>
      <c r="D17">
        <v>43.201847000000001</v>
      </c>
      <c r="E17">
        <v>9.3049499999999998</v>
      </c>
      <c r="L17" t="s">
        <v>363</v>
      </c>
      <c r="M17">
        <v>0</v>
      </c>
      <c r="N17">
        <v>0</v>
      </c>
      <c r="O17">
        <v>43.201847000000001</v>
      </c>
      <c r="P17">
        <v>9.3049499999999998</v>
      </c>
      <c r="Q17">
        <v>33.896897000000003</v>
      </c>
      <c r="R17">
        <v>0</v>
      </c>
      <c r="S17" s="1">
        <f t="shared" si="0"/>
        <v>0.53699000000000052</v>
      </c>
      <c r="T17" s="2">
        <f t="shared" si="1"/>
        <v>53.699000000000055</v>
      </c>
    </row>
    <row r="18" spans="1:20" x14ac:dyDescent="0.2">
      <c r="A18" t="s">
        <v>364</v>
      </c>
      <c r="D18">
        <v>37.001567999999999</v>
      </c>
      <c r="E18">
        <v>8.5188400000000009</v>
      </c>
      <c r="L18" t="s">
        <v>364</v>
      </c>
      <c r="M18">
        <v>0</v>
      </c>
      <c r="N18">
        <v>28.483000000000001</v>
      </c>
      <c r="O18">
        <v>37.001567999999999</v>
      </c>
      <c r="P18">
        <v>8.5188400000000009</v>
      </c>
      <c r="Q18">
        <v>0</v>
      </c>
      <c r="R18">
        <v>0</v>
      </c>
      <c r="S18" s="1">
        <f t="shared" si="0"/>
        <v>0.82182000000000055</v>
      </c>
      <c r="T18" s="2">
        <f t="shared" si="1"/>
        <v>82.182000000000059</v>
      </c>
    </row>
    <row r="19" spans="1:20" x14ac:dyDescent="0.2">
      <c r="A19" t="s">
        <v>365</v>
      </c>
      <c r="D19">
        <v>27.742623999999999</v>
      </c>
      <c r="E19">
        <v>9.9246999999999996</v>
      </c>
      <c r="L19" t="s">
        <v>365</v>
      </c>
      <c r="M19">
        <v>0</v>
      </c>
      <c r="N19">
        <v>17.818000000000001</v>
      </c>
      <c r="O19">
        <v>27.742623999999999</v>
      </c>
      <c r="P19">
        <v>9.9246999999999996</v>
      </c>
      <c r="Q19">
        <v>0</v>
      </c>
      <c r="R19">
        <v>0</v>
      </c>
      <c r="S19" s="1">
        <f t="shared" si="0"/>
        <v>1.0000000000000007</v>
      </c>
      <c r="T19" s="2">
        <f t="shared" si="1"/>
        <v>100.00000000000006</v>
      </c>
    </row>
    <row r="20" spans="1:20" x14ac:dyDescent="0.2">
      <c r="A20" t="s">
        <v>366</v>
      </c>
      <c r="D20">
        <v>14.050526</v>
      </c>
      <c r="E20">
        <v>9.8074999999999992</v>
      </c>
      <c r="L20" t="s">
        <v>366</v>
      </c>
      <c r="M20">
        <v>0</v>
      </c>
      <c r="N20">
        <v>0</v>
      </c>
      <c r="O20">
        <v>14.050526</v>
      </c>
      <c r="P20">
        <v>9.8074999999999992</v>
      </c>
      <c r="Q20">
        <v>4.2430260000000004</v>
      </c>
      <c r="R20">
        <v>0</v>
      </c>
      <c r="S20" s="1">
        <f t="shared" si="0"/>
        <v>1.0000000000000007</v>
      </c>
      <c r="T20" s="2">
        <f t="shared" si="1"/>
        <v>100.00000000000006</v>
      </c>
    </row>
    <row r="21" spans="1:20" x14ac:dyDescent="0.2">
      <c r="A21" t="s">
        <v>367</v>
      </c>
      <c r="D21">
        <v>2.3313003000000001</v>
      </c>
      <c r="E21">
        <v>9.6903000000000006</v>
      </c>
      <c r="L21" t="s">
        <v>367</v>
      </c>
      <c r="M21">
        <v>7.359</v>
      </c>
      <c r="N21">
        <v>0</v>
      </c>
      <c r="O21">
        <v>2.3313003000000001</v>
      </c>
      <c r="P21">
        <v>9.6903000000000006</v>
      </c>
      <c r="Q21">
        <v>0</v>
      </c>
      <c r="R21">
        <v>0</v>
      </c>
      <c r="S21" s="1">
        <f t="shared" si="0"/>
        <v>0.92641000000000062</v>
      </c>
      <c r="T21" s="2">
        <f t="shared" si="1"/>
        <v>92.641000000000062</v>
      </c>
    </row>
    <row r="22" spans="1:20" x14ac:dyDescent="0.2">
      <c r="A22" t="s">
        <v>368</v>
      </c>
      <c r="D22">
        <v>0</v>
      </c>
      <c r="E22">
        <v>9.8622999999999994</v>
      </c>
      <c r="L22" t="s">
        <v>368</v>
      </c>
      <c r="M22">
        <v>9.8620000000000001</v>
      </c>
      <c r="N22">
        <v>0</v>
      </c>
      <c r="O22">
        <v>0</v>
      </c>
      <c r="P22">
        <v>9.8622999999999994</v>
      </c>
      <c r="Q22">
        <v>0</v>
      </c>
      <c r="R22">
        <v>0</v>
      </c>
      <c r="S22" s="1">
        <f t="shared" si="0"/>
        <v>0.82779000000000069</v>
      </c>
      <c r="T22" s="2">
        <f t="shared" si="1"/>
        <v>82.779000000000067</v>
      </c>
    </row>
    <row r="23" spans="1:20" x14ac:dyDescent="0.2">
      <c r="A23" t="s">
        <v>369</v>
      </c>
      <c r="D23">
        <v>0</v>
      </c>
      <c r="E23">
        <v>9.5957500000000007</v>
      </c>
      <c r="L23" t="s">
        <v>369</v>
      </c>
      <c r="M23">
        <v>9.5960000000000001</v>
      </c>
      <c r="N23">
        <v>0</v>
      </c>
      <c r="O23">
        <v>0</v>
      </c>
      <c r="P23">
        <v>9.5957500000000007</v>
      </c>
      <c r="Q23">
        <v>0</v>
      </c>
      <c r="R23">
        <v>0</v>
      </c>
      <c r="S23" s="1">
        <f t="shared" si="0"/>
        <v>0.73183000000000065</v>
      </c>
      <c r="T23" s="2">
        <f t="shared" si="1"/>
        <v>73.183000000000064</v>
      </c>
    </row>
    <row r="24" spans="1:20" x14ac:dyDescent="0.2">
      <c r="A24" t="s">
        <v>370</v>
      </c>
      <c r="D24">
        <v>0</v>
      </c>
      <c r="E24">
        <v>9.6053499999999996</v>
      </c>
      <c r="L24" t="s">
        <v>370</v>
      </c>
      <c r="M24">
        <v>9.6050000000000004</v>
      </c>
      <c r="N24">
        <v>0</v>
      </c>
      <c r="O24">
        <v>0</v>
      </c>
      <c r="P24">
        <v>9.6053499999999996</v>
      </c>
      <c r="Q24">
        <v>0</v>
      </c>
      <c r="R24">
        <v>0</v>
      </c>
      <c r="S24" s="1">
        <f t="shared" si="0"/>
        <v>0.63578000000000057</v>
      </c>
      <c r="T24" s="2">
        <f t="shared" si="1"/>
        <v>63.57800000000006</v>
      </c>
    </row>
    <row r="25" spans="1:20" x14ac:dyDescent="0.2">
      <c r="A25" t="s">
        <v>371</v>
      </c>
      <c r="D25">
        <v>0</v>
      </c>
      <c r="E25">
        <v>9.4710999999999999</v>
      </c>
      <c r="L25" t="s">
        <v>371</v>
      </c>
      <c r="M25">
        <v>9.4710000000000001</v>
      </c>
      <c r="N25">
        <v>0</v>
      </c>
      <c r="O25">
        <v>0</v>
      </c>
      <c r="P25">
        <v>9.4710999999999999</v>
      </c>
      <c r="Q25">
        <v>0</v>
      </c>
      <c r="R25">
        <v>0</v>
      </c>
      <c r="S25" s="1">
        <f t="shared" si="0"/>
        <v>0.54107000000000061</v>
      </c>
      <c r="T25" s="2">
        <f t="shared" si="1"/>
        <v>54.107000000000056</v>
      </c>
    </row>
    <row r="26" spans="1:20" x14ac:dyDescent="0.2">
      <c r="A26" t="s">
        <v>372</v>
      </c>
      <c r="D26">
        <v>0</v>
      </c>
      <c r="E26">
        <v>6.0982250000000002</v>
      </c>
      <c r="L26" t="s">
        <v>372</v>
      </c>
      <c r="M26">
        <v>6.0979999999999999</v>
      </c>
      <c r="N26">
        <v>0</v>
      </c>
      <c r="O26">
        <v>0</v>
      </c>
      <c r="P26">
        <v>6.0982250000000002</v>
      </c>
      <c r="Q26">
        <v>0</v>
      </c>
      <c r="R26">
        <v>0</v>
      </c>
      <c r="S26" s="1">
        <f t="shared" si="0"/>
        <v>0.48009000000000057</v>
      </c>
      <c r="T26" s="2">
        <f t="shared" si="1"/>
        <v>48.009000000000057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X26"/>
  <sheetViews>
    <sheetView workbookViewId="0"/>
  </sheetViews>
  <sheetFormatPr baseColWidth="10" defaultColWidth="8.83203125" defaultRowHeight="15" x14ac:dyDescent="0.2"/>
  <sheetData>
    <row r="1" spans="1:24" x14ac:dyDescent="0.2">
      <c r="A1" t="s">
        <v>0</v>
      </c>
      <c r="D1" t="s">
        <v>1</v>
      </c>
      <c r="L1" t="s">
        <v>2</v>
      </c>
      <c r="R1" t="s">
        <v>3</v>
      </c>
      <c r="S1" s="1">
        <v>0.48009000000000041</v>
      </c>
      <c r="T1">
        <f>S1*V1</f>
        <v>48.009000000000043</v>
      </c>
      <c r="U1" t="s">
        <v>4</v>
      </c>
      <c r="V1">
        <v>100</v>
      </c>
      <c r="W1" t="s">
        <v>5</v>
      </c>
      <c r="X1" s="1">
        <v>0.1</v>
      </c>
    </row>
    <row r="2" spans="1:24" x14ac:dyDescent="0.2">
      <c r="A2" t="s">
        <v>6</v>
      </c>
      <c r="B2" t="s">
        <v>7</v>
      </c>
      <c r="C2" t="s">
        <v>8</v>
      </c>
      <c r="D2" t="s">
        <v>9</v>
      </c>
      <c r="E2" t="s">
        <v>10</v>
      </c>
      <c r="F2" t="s">
        <v>11</v>
      </c>
      <c r="G2" t="s">
        <v>12</v>
      </c>
      <c r="H2" t="s">
        <v>13</v>
      </c>
      <c r="I2" t="s">
        <v>14</v>
      </c>
      <c r="L2" t="s">
        <v>6</v>
      </c>
      <c r="M2" t="s">
        <v>7</v>
      </c>
      <c r="N2" t="s">
        <v>8</v>
      </c>
      <c r="O2" t="s">
        <v>9</v>
      </c>
      <c r="P2" t="s">
        <v>10</v>
      </c>
      <c r="Q2" t="s">
        <v>11</v>
      </c>
      <c r="R2" t="s">
        <v>12</v>
      </c>
      <c r="S2" t="s">
        <v>13</v>
      </c>
      <c r="T2" t="s">
        <v>14</v>
      </c>
      <c r="W2" t="s">
        <v>15</v>
      </c>
      <c r="X2" s="1">
        <v>1</v>
      </c>
    </row>
    <row r="3" spans="1:24" x14ac:dyDescent="0.2">
      <c r="A3" t="s">
        <v>373</v>
      </c>
      <c r="D3">
        <v>0</v>
      </c>
      <c r="E3">
        <v>9.2879330000000007</v>
      </c>
      <c r="L3" t="s">
        <v>373</v>
      </c>
      <c r="M3">
        <v>9.2880000000000003</v>
      </c>
      <c r="N3">
        <v>0</v>
      </c>
      <c r="O3">
        <v>0</v>
      </c>
      <c r="P3">
        <v>9.2879330000000007</v>
      </c>
      <c r="Q3">
        <v>0</v>
      </c>
      <c r="R3">
        <v>0</v>
      </c>
      <c r="S3" s="1">
        <f t="shared" ref="S3:S26" si="0">T3/V$1</f>
        <v>0.38721000000000044</v>
      </c>
      <c r="T3" s="2">
        <f>T1-M3+N3</f>
        <v>38.721000000000046</v>
      </c>
    </row>
    <row r="4" spans="1:24" x14ac:dyDescent="0.2">
      <c r="A4" t="s">
        <v>374</v>
      </c>
      <c r="D4">
        <v>0</v>
      </c>
      <c r="E4">
        <v>9.7637999999999998</v>
      </c>
      <c r="L4" t="s">
        <v>374</v>
      </c>
      <c r="M4">
        <v>9.7639999999999993</v>
      </c>
      <c r="N4">
        <v>0</v>
      </c>
      <c r="O4">
        <v>0</v>
      </c>
      <c r="P4">
        <v>9.7637999999999998</v>
      </c>
      <c r="Q4">
        <v>0</v>
      </c>
      <c r="R4">
        <v>0</v>
      </c>
      <c r="S4" s="1">
        <f t="shared" si="0"/>
        <v>0.28957000000000049</v>
      </c>
      <c r="T4" s="2">
        <f t="shared" ref="T4:T26" si="1">T3-M4+N4</f>
        <v>28.957000000000047</v>
      </c>
    </row>
    <row r="5" spans="1:24" x14ac:dyDescent="0.2">
      <c r="A5" t="s">
        <v>375</v>
      </c>
      <c r="D5">
        <v>0</v>
      </c>
      <c r="E5">
        <v>9.4244669999999999</v>
      </c>
      <c r="L5" t="s">
        <v>375</v>
      </c>
      <c r="M5">
        <v>4.8099999999999996</v>
      </c>
      <c r="N5">
        <v>0</v>
      </c>
      <c r="O5">
        <v>0</v>
      </c>
      <c r="P5">
        <v>9.4244669999999999</v>
      </c>
      <c r="Q5">
        <v>0</v>
      </c>
      <c r="R5">
        <v>4.6144670000000003</v>
      </c>
      <c r="S5" s="1">
        <f t="shared" si="0"/>
        <v>0.24147000000000049</v>
      </c>
      <c r="T5" s="2">
        <f t="shared" si="1"/>
        <v>24.147000000000048</v>
      </c>
    </row>
    <row r="6" spans="1:24" x14ac:dyDescent="0.2">
      <c r="A6" t="s">
        <v>376</v>
      </c>
      <c r="D6">
        <v>0</v>
      </c>
      <c r="E6">
        <v>9.2784499999999994</v>
      </c>
      <c r="L6" t="s">
        <v>376</v>
      </c>
      <c r="M6">
        <v>9.2780000000000005</v>
      </c>
      <c r="N6">
        <v>0</v>
      </c>
      <c r="O6">
        <v>0</v>
      </c>
      <c r="P6">
        <v>9.2784499999999994</v>
      </c>
      <c r="Q6">
        <v>0</v>
      </c>
      <c r="R6">
        <v>0</v>
      </c>
      <c r="S6" s="1">
        <f t="shared" si="0"/>
        <v>0.14869000000000049</v>
      </c>
      <c r="T6" s="2">
        <f t="shared" si="1"/>
        <v>14.869000000000048</v>
      </c>
      <c r="V6" t="s">
        <v>20</v>
      </c>
      <c r="W6" t="s">
        <v>377</v>
      </c>
    </row>
    <row r="7" spans="1:24" x14ac:dyDescent="0.2">
      <c r="A7" t="s">
        <v>378</v>
      </c>
      <c r="D7">
        <v>0</v>
      </c>
      <c r="E7">
        <v>4.8687997000000003</v>
      </c>
      <c r="L7" t="s">
        <v>378</v>
      </c>
      <c r="M7">
        <v>4.8689999999999998</v>
      </c>
      <c r="N7">
        <v>0</v>
      </c>
      <c r="O7">
        <v>0</v>
      </c>
      <c r="P7">
        <v>4.8687997000000003</v>
      </c>
      <c r="Q7">
        <v>0</v>
      </c>
      <c r="R7">
        <v>0</v>
      </c>
      <c r="S7" s="1">
        <f t="shared" si="0"/>
        <v>0.10000000000000048</v>
      </c>
      <c r="T7" s="2">
        <f t="shared" si="1"/>
        <v>10.000000000000048</v>
      </c>
      <c r="V7" t="s">
        <v>23</v>
      </c>
      <c r="W7" t="s">
        <v>24</v>
      </c>
    </row>
    <row r="8" spans="1:24" x14ac:dyDescent="0.2">
      <c r="A8" t="s">
        <v>379</v>
      </c>
      <c r="D8">
        <v>0</v>
      </c>
      <c r="E8">
        <v>5.6549835000000002</v>
      </c>
      <c r="L8" t="s">
        <v>379</v>
      </c>
      <c r="M8">
        <v>0</v>
      </c>
      <c r="N8">
        <v>0</v>
      </c>
      <c r="O8">
        <v>0</v>
      </c>
      <c r="P8">
        <v>5.6549835000000002</v>
      </c>
      <c r="Q8">
        <v>0</v>
      </c>
      <c r="R8">
        <v>5.6549835000000002</v>
      </c>
      <c r="S8" s="1">
        <f t="shared" si="0"/>
        <v>0.10000000000000048</v>
      </c>
      <c r="T8" s="2">
        <f t="shared" si="1"/>
        <v>10.000000000000048</v>
      </c>
      <c r="V8" t="s">
        <v>26</v>
      </c>
      <c r="W8">
        <v>8.2000000000000003E-2</v>
      </c>
    </row>
    <row r="9" spans="1:24" x14ac:dyDescent="0.2">
      <c r="A9" t="s">
        <v>380</v>
      </c>
      <c r="D9">
        <v>0</v>
      </c>
      <c r="E9">
        <v>6.3951169999999999</v>
      </c>
      <c r="L9" t="s">
        <v>380</v>
      </c>
      <c r="M9">
        <v>0</v>
      </c>
      <c r="N9">
        <v>0</v>
      </c>
      <c r="O9">
        <v>0</v>
      </c>
      <c r="P9">
        <v>6.3951169999999999</v>
      </c>
      <c r="Q9">
        <v>0</v>
      </c>
      <c r="R9">
        <v>6.3951169999999999</v>
      </c>
      <c r="S9" s="1">
        <f t="shared" si="0"/>
        <v>0.10000000000000048</v>
      </c>
      <c r="T9" s="2">
        <f t="shared" si="1"/>
        <v>10.000000000000048</v>
      </c>
      <c r="V9" t="s">
        <v>28</v>
      </c>
      <c r="W9">
        <f>W8/60</f>
        <v>1.3666666666666666E-3</v>
      </c>
    </row>
    <row r="10" spans="1:24" x14ac:dyDescent="0.2">
      <c r="A10" t="s">
        <v>381</v>
      </c>
      <c r="D10">
        <v>2.1345668</v>
      </c>
      <c r="E10">
        <v>7.1352500000000001</v>
      </c>
      <c r="L10" t="s">
        <v>381</v>
      </c>
      <c r="M10">
        <v>0</v>
      </c>
      <c r="N10">
        <v>0</v>
      </c>
      <c r="O10">
        <v>2.1345668</v>
      </c>
      <c r="P10">
        <v>7.1352500000000001</v>
      </c>
      <c r="Q10">
        <v>0</v>
      </c>
      <c r="R10">
        <v>5.0006832000000001</v>
      </c>
      <c r="S10" s="1">
        <f t="shared" si="0"/>
        <v>0.10000000000000048</v>
      </c>
      <c r="T10" s="2">
        <f t="shared" si="1"/>
        <v>10.000000000000048</v>
      </c>
    </row>
    <row r="11" spans="1:24" x14ac:dyDescent="0.2">
      <c r="A11" t="s">
        <v>382</v>
      </c>
      <c r="D11">
        <v>16.086739999999999</v>
      </c>
      <c r="E11">
        <v>5.9602003000000003</v>
      </c>
      <c r="L11" t="s">
        <v>382</v>
      </c>
      <c r="M11">
        <v>0</v>
      </c>
      <c r="N11">
        <v>0.36199999999999999</v>
      </c>
      <c r="O11">
        <v>16.086739999999999</v>
      </c>
      <c r="P11">
        <v>5.9602003000000003</v>
      </c>
      <c r="Q11">
        <v>9.7645396999999985</v>
      </c>
      <c r="R11">
        <v>0</v>
      </c>
      <c r="S11" s="1">
        <f t="shared" si="0"/>
        <v>0.10362000000000048</v>
      </c>
      <c r="T11" s="2">
        <f t="shared" si="1"/>
        <v>10.362000000000048</v>
      </c>
    </row>
    <row r="12" spans="1:24" x14ac:dyDescent="0.2">
      <c r="A12" t="s">
        <v>383</v>
      </c>
      <c r="D12">
        <v>30.101251999999999</v>
      </c>
      <c r="E12">
        <v>6.8975999999999997</v>
      </c>
      <c r="L12" t="s">
        <v>383</v>
      </c>
      <c r="M12">
        <v>0</v>
      </c>
      <c r="N12">
        <v>23.204000000000001</v>
      </c>
      <c r="O12">
        <v>30.101251999999999</v>
      </c>
      <c r="P12">
        <v>6.8975999999999997</v>
      </c>
      <c r="Q12">
        <v>0</v>
      </c>
      <c r="R12">
        <v>0</v>
      </c>
      <c r="S12" s="1">
        <f t="shared" si="0"/>
        <v>0.33566000000000046</v>
      </c>
      <c r="T12" s="2">
        <f t="shared" si="1"/>
        <v>33.566000000000045</v>
      </c>
    </row>
    <row r="13" spans="1:24" x14ac:dyDescent="0.2">
      <c r="A13" t="s">
        <v>384</v>
      </c>
      <c r="D13">
        <v>38.794125000000001</v>
      </c>
      <c r="E13">
        <v>6.6973000000000003</v>
      </c>
      <c r="L13" t="s">
        <v>384</v>
      </c>
      <c r="M13">
        <v>0</v>
      </c>
      <c r="N13">
        <v>32.097000000000001</v>
      </c>
      <c r="O13">
        <v>38.794125000000001</v>
      </c>
      <c r="P13">
        <v>6.6973000000000003</v>
      </c>
      <c r="Q13">
        <v>0</v>
      </c>
      <c r="R13">
        <v>0</v>
      </c>
      <c r="S13" s="1">
        <f t="shared" si="0"/>
        <v>0.65663000000000038</v>
      </c>
      <c r="T13" s="2">
        <f t="shared" si="1"/>
        <v>65.663000000000039</v>
      </c>
    </row>
    <row r="14" spans="1:24" x14ac:dyDescent="0.2">
      <c r="A14" t="s">
        <v>385</v>
      </c>
      <c r="D14">
        <v>43.124000000000002</v>
      </c>
      <c r="E14">
        <v>7.3211500000000003</v>
      </c>
      <c r="L14" t="s">
        <v>385</v>
      </c>
      <c r="M14">
        <v>0</v>
      </c>
      <c r="N14">
        <v>0</v>
      </c>
      <c r="O14">
        <v>43.124000000000002</v>
      </c>
      <c r="P14">
        <v>7.3211500000000003</v>
      </c>
      <c r="Q14">
        <v>35.802849999999999</v>
      </c>
      <c r="R14">
        <v>0</v>
      </c>
      <c r="S14" s="1">
        <f t="shared" si="0"/>
        <v>0.65663000000000038</v>
      </c>
      <c r="T14" s="2">
        <f t="shared" si="1"/>
        <v>65.663000000000039</v>
      </c>
    </row>
    <row r="15" spans="1:24" x14ac:dyDescent="0.2">
      <c r="A15" t="s">
        <v>386</v>
      </c>
      <c r="D15">
        <v>46.016655</v>
      </c>
      <c r="E15">
        <v>7.1215999999999999</v>
      </c>
      <c r="L15" t="s">
        <v>386</v>
      </c>
      <c r="M15">
        <v>0</v>
      </c>
      <c r="N15">
        <v>0</v>
      </c>
      <c r="O15">
        <v>46.016655</v>
      </c>
      <c r="P15">
        <v>7.1215999999999999</v>
      </c>
      <c r="Q15">
        <v>38.895054999999999</v>
      </c>
      <c r="R15">
        <v>0</v>
      </c>
      <c r="S15" s="1">
        <f t="shared" si="0"/>
        <v>0.65663000000000038</v>
      </c>
      <c r="T15" s="2">
        <f t="shared" si="1"/>
        <v>65.663000000000039</v>
      </c>
    </row>
    <row r="16" spans="1:24" x14ac:dyDescent="0.2">
      <c r="A16" t="s">
        <v>387</v>
      </c>
      <c r="D16">
        <v>43.738822999999996</v>
      </c>
      <c r="E16">
        <v>7.1089500000000001</v>
      </c>
      <c r="L16" t="s">
        <v>387</v>
      </c>
      <c r="M16">
        <v>0</v>
      </c>
      <c r="N16">
        <v>0</v>
      </c>
      <c r="O16">
        <v>43.738822999999996</v>
      </c>
      <c r="P16">
        <v>7.1089500000000001</v>
      </c>
      <c r="Q16">
        <v>36.629873000000003</v>
      </c>
      <c r="R16">
        <v>0</v>
      </c>
      <c r="S16" s="1">
        <f t="shared" si="0"/>
        <v>0.65663000000000038</v>
      </c>
      <c r="T16" s="2">
        <f t="shared" si="1"/>
        <v>65.663000000000039</v>
      </c>
    </row>
    <row r="17" spans="1:20" x14ac:dyDescent="0.2">
      <c r="A17" t="s">
        <v>388</v>
      </c>
      <c r="D17">
        <v>41.951897000000002</v>
      </c>
      <c r="E17">
        <v>7.1478999999999999</v>
      </c>
      <c r="L17" t="s">
        <v>388</v>
      </c>
      <c r="M17">
        <v>0</v>
      </c>
      <c r="N17">
        <v>0</v>
      </c>
      <c r="O17">
        <v>41.951897000000002</v>
      </c>
      <c r="P17">
        <v>7.1478999999999999</v>
      </c>
      <c r="Q17">
        <v>34.803997000000003</v>
      </c>
      <c r="R17">
        <v>0</v>
      </c>
      <c r="S17" s="1">
        <f t="shared" si="0"/>
        <v>0.65663000000000038</v>
      </c>
      <c r="T17" s="2">
        <f t="shared" si="1"/>
        <v>65.663000000000039</v>
      </c>
    </row>
    <row r="18" spans="1:20" x14ac:dyDescent="0.2">
      <c r="A18" t="s">
        <v>389</v>
      </c>
      <c r="D18">
        <v>36.032499999999999</v>
      </c>
      <c r="E18">
        <v>5.1234999999999999</v>
      </c>
      <c r="L18" t="s">
        <v>389</v>
      </c>
      <c r="M18">
        <v>0</v>
      </c>
      <c r="N18">
        <v>30.908999999999999</v>
      </c>
      <c r="O18">
        <v>36.032499999999999</v>
      </c>
      <c r="P18">
        <v>5.1234999999999999</v>
      </c>
      <c r="Q18">
        <v>0</v>
      </c>
      <c r="R18">
        <v>0</v>
      </c>
      <c r="S18" s="1">
        <f t="shared" si="0"/>
        <v>0.96572000000000036</v>
      </c>
      <c r="T18" s="2">
        <f t="shared" si="1"/>
        <v>96.572000000000031</v>
      </c>
    </row>
    <row r="19" spans="1:20" x14ac:dyDescent="0.2">
      <c r="A19" t="s">
        <v>390</v>
      </c>
      <c r="D19">
        <v>25.177278999999999</v>
      </c>
      <c r="E19">
        <v>5.9560500000000003</v>
      </c>
      <c r="L19" t="s">
        <v>390</v>
      </c>
      <c r="M19">
        <v>0</v>
      </c>
      <c r="N19">
        <v>0</v>
      </c>
      <c r="O19">
        <v>25.177278999999999</v>
      </c>
      <c r="P19">
        <v>5.9560500000000003</v>
      </c>
      <c r="Q19">
        <v>19.221229000000001</v>
      </c>
      <c r="R19">
        <v>0</v>
      </c>
      <c r="S19" s="1">
        <f t="shared" si="0"/>
        <v>0.96572000000000036</v>
      </c>
      <c r="T19" s="2">
        <f t="shared" si="1"/>
        <v>96.572000000000031</v>
      </c>
    </row>
    <row r="20" spans="1:20" x14ac:dyDescent="0.2">
      <c r="A20" t="s">
        <v>391</v>
      </c>
      <c r="D20">
        <v>10.359125000000001</v>
      </c>
      <c r="E20">
        <v>6.9302334999999999</v>
      </c>
      <c r="L20" t="s">
        <v>391</v>
      </c>
      <c r="M20">
        <v>0</v>
      </c>
      <c r="N20">
        <v>3.4289999999999998</v>
      </c>
      <c r="O20">
        <v>10.359125000000001</v>
      </c>
      <c r="P20">
        <v>6.9302334999999999</v>
      </c>
      <c r="Q20">
        <v>0</v>
      </c>
      <c r="R20">
        <v>0</v>
      </c>
      <c r="S20" s="1">
        <f t="shared" si="0"/>
        <v>1.0000100000000003</v>
      </c>
      <c r="T20" s="2">
        <f t="shared" si="1"/>
        <v>100.00100000000003</v>
      </c>
    </row>
    <row r="21" spans="1:20" x14ac:dyDescent="0.2">
      <c r="A21" t="s">
        <v>392</v>
      </c>
      <c r="D21">
        <v>1.3921752999999999</v>
      </c>
      <c r="E21">
        <v>6.9828996999999999</v>
      </c>
      <c r="L21" t="s">
        <v>392</v>
      </c>
      <c r="M21">
        <v>5.5910000000000002</v>
      </c>
      <c r="N21">
        <v>0</v>
      </c>
      <c r="O21">
        <v>1.3921752999999999</v>
      </c>
      <c r="P21">
        <v>6.9828996999999999</v>
      </c>
      <c r="Q21">
        <v>0</v>
      </c>
      <c r="R21">
        <v>0</v>
      </c>
      <c r="S21" s="1">
        <f t="shared" si="0"/>
        <v>0.94410000000000038</v>
      </c>
      <c r="T21" s="2">
        <f t="shared" si="1"/>
        <v>94.410000000000039</v>
      </c>
    </row>
    <row r="22" spans="1:20" x14ac:dyDescent="0.2">
      <c r="A22" t="s">
        <v>393</v>
      </c>
      <c r="D22">
        <v>0</v>
      </c>
      <c r="E22">
        <v>7.1285999999999996</v>
      </c>
      <c r="L22" t="s">
        <v>393</v>
      </c>
      <c r="M22">
        <v>7.1289999999999996</v>
      </c>
      <c r="N22">
        <v>0</v>
      </c>
      <c r="O22">
        <v>0</v>
      </c>
      <c r="P22">
        <v>7.1285999999999996</v>
      </c>
      <c r="Q22">
        <v>0</v>
      </c>
      <c r="R22">
        <v>0</v>
      </c>
      <c r="S22" s="1">
        <f t="shared" si="0"/>
        <v>0.87281000000000031</v>
      </c>
      <c r="T22" s="2">
        <f t="shared" si="1"/>
        <v>87.281000000000034</v>
      </c>
    </row>
    <row r="23" spans="1:20" x14ac:dyDescent="0.2">
      <c r="A23" t="s">
        <v>394</v>
      </c>
      <c r="D23">
        <v>0</v>
      </c>
      <c r="E23">
        <v>6.5292250000000003</v>
      </c>
      <c r="L23" t="s">
        <v>394</v>
      </c>
      <c r="M23">
        <v>6.5289999999999999</v>
      </c>
      <c r="N23">
        <v>0</v>
      </c>
      <c r="O23">
        <v>0</v>
      </c>
      <c r="P23">
        <v>6.5292250000000003</v>
      </c>
      <c r="Q23">
        <v>0</v>
      </c>
      <c r="R23">
        <v>0</v>
      </c>
      <c r="S23" s="1">
        <f t="shared" si="0"/>
        <v>0.80752000000000035</v>
      </c>
      <c r="T23" s="2">
        <f t="shared" si="1"/>
        <v>80.752000000000038</v>
      </c>
    </row>
    <row r="24" spans="1:20" x14ac:dyDescent="0.2">
      <c r="A24" t="s">
        <v>395</v>
      </c>
      <c r="D24">
        <v>0</v>
      </c>
      <c r="E24">
        <v>6.6284083999999996</v>
      </c>
      <c r="L24" t="s">
        <v>395</v>
      </c>
      <c r="M24">
        <v>6.6280000000000001</v>
      </c>
      <c r="N24">
        <v>0</v>
      </c>
      <c r="O24">
        <v>0</v>
      </c>
      <c r="P24">
        <v>6.6284083999999996</v>
      </c>
      <c r="Q24">
        <v>0</v>
      </c>
      <c r="R24">
        <v>0</v>
      </c>
      <c r="S24" s="1">
        <f t="shared" si="0"/>
        <v>0.74124000000000034</v>
      </c>
      <c r="T24" s="2">
        <f t="shared" si="1"/>
        <v>74.124000000000038</v>
      </c>
    </row>
    <row r="25" spans="1:20" x14ac:dyDescent="0.2">
      <c r="A25" t="s">
        <v>396</v>
      </c>
      <c r="D25">
        <v>0</v>
      </c>
      <c r="E25">
        <v>6.64032</v>
      </c>
      <c r="L25" t="s">
        <v>396</v>
      </c>
      <c r="M25">
        <v>6.64</v>
      </c>
      <c r="N25">
        <v>0</v>
      </c>
      <c r="O25">
        <v>0</v>
      </c>
      <c r="P25">
        <v>6.64032</v>
      </c>
      <c r="Q25">
        <v>0</v>
      </c>
      <c r="R25">
        <v>0</v>
      </c>
      <c r="S25" s="1">
        <f t="shared" si="0"/>
        <v>0.67484000000000033</v>
      </c>
      <c r="T25" s="2">
        <f t="shared" si="1"/>
        <v>67.484000000000037</v>
      </c>
    </row>
    <row r="26" spans="1:20" x14ac:dyDescent="0.2">
      <c r="A26" t="s">
        <v>397</v>
      </c>
      <c r="D26">
        <v>0</v>
      </c>
      <c r="E26">
        <v>6.9513499999999997</v>
      </c>
      <c r="L26" t="s">
        <v>397</v>
      </c>
      <c r="M26">
        <v>6.9509999999999996</v>
      </c>
      <c r="N26">
        <v>0</v>
      </c>
      <c r="O26">
        <v>0</v>
      </c>
      <c r="P26">
        <v>6.9513499999999997</v>
      </c>
      <c r="Q26">
        <v>0</v>
      </c>
      <c r="R26">
        <v>0</v>
      </c>
      <c r="S26" s="1">
        <f t="shared" si="0"/>
        <v>0.60533000000000037</v>
      </c>
      <c r="T26" s="2">
        <f t="shared" si="1"/>
        <v>60.533000000000037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X26"/>
  <sheetViews>
    <sheetView workbookViewId="0"/>
  </sheetViews>
  <sheetFormatPr baseColWidth="10" defaultColWidth="8.83203125" defaultRowHeight="15" x14ac:dyDescent="0.2"/>
  <sheetData>
    <row r="1" spans="1:24" x14ac:dyDescent="0.2">
      <c r="A1" t="s">
        <v>0</v>
      </c>
      <c r="D1" t="s">
        <v>1</v>
      </c>
      <c r="L1" t="s">
        <v>2</v>
      </c>
      <c r="R1" t="s">
        <v>3</v>
      </c>
      <c r="S1" s="1">
        <v>0.60533000000000037</v>
      </c>
      <c r="T1">
        <f>S1*V1</f>
        <v>60.533000000000037</v>
      </c>
      <c r="U1" t="s">
        <v>4</v>
      </c>
      <c r="V1">
        <v>100</v>
      </c>
      <c r="W1" t="s">
        <v>5</v>
      </c>
      <c r="X1" s="1">
        <v>0.1</v>
      </c>
    </row>
    <row r="2" spans="1:24" x14ac:dyDescent="0.2">
      <c r="A2" t="s">
        <v>6</v>
      </c>
      <c r="B2" t="s">
        <v>7</v>
      </c>
      <c r="C2" t="s">
        <v>8</v>
      </c>
      <c r="D2" t="s">
        <v>9</v>
      </c>
      <c r="E2" t="s">
        <v>10</v>
      </c>
      <c r="F2" t="s">
        <v>11</v>
      </c>
      <c r="G2" t="s">
        <v>12</v>
      </c>
      <c r="H2" t="s">
        <v>13</v>
      </c>
      <c r="I2" t="s">
        <v>14</v>
      </c>
      <c r="L2" t="s">
        <v>6</v>
      </c>
      <c r="M2" t="s">
        <v>7</v>
      </c>
      <c r="N2" t="s">
        <v>8</v>
      </c>
      <c r="O2" t="s">
        <v>9</v>
      </c>
      <c r="P2" t="s">
        <v>10</v>
      </c>
      <c r="Q2" t="s">
        <v>11</v>
      </c>
      <c r="R2" t="s">
        <v>12</v>
      </c>
      <c r="S2" t="s">
        <v>13</v>
      </c>
      <c r="T2" t="s">
        <v>14</v>
      </c>
      <c r="W2" t="s">
        <v>15</v>
      </c>
      <c r="X2" s="1">
        <v>1</v>
      </c>
    </row>
    <row r="3" spans="1:24" x14ac:dyDescent="0.2">
      <c r="A3" t="s">
        <v>398</v>
      </c>
      <c r="D3">
        <v>0</v>
      </c>
      <c r="E3">
        <v>6.9219999999999997</v>
      </c>
      <c r="L3" t="s">
        <v>398</v>
      </c>
      <c r="M3">
        <v>6.9219999999999997</v>
      </c>
      <c r="N3">
        <v>0</v>
      </c>
      <c r="O3">
        <v>0</v>
      </c>
      <c r="P3">
        <v>6.9219999999999997</v>
      </c>
      <c r="Q3">
        <v>0</v>
      </c>
      <c r="R3">
        <v>0</v>
      </c>
      <c r="S3" s="1">
        <f t="shared" ref="S3:S26" si="0">T3/V$1</f>
        <v>0.53611000000000042</v>
      </c>
      <c r="T3" s="2">
        <f>T1-M3+N3</f>
        <v>53.61100000000004</v>
      </c>
    </row>
    <row r="4" spans="1:24" x14ac:dyDescent="0.2">
      <c r="A4" t="s">
        <v>399</v>
      </c>
      <c r="D4">
        <v>0</v>
      </c>
      <c r="E4">
        <v>5.8718500000000002</v>
      </c>
      <c r="L4" t="s">
        <v>399</v>
      </c>
      <c r="M4">
        <v>5.8719999999999999</v>
      </c>
      <c r="N4">
        <v>0</v>
      </c>
      <c r="O4">
        <v>0</v>
      </c>
      <c r="P4">
        <v>5.8718500000000002</v>
      </c>
      <c r="Q4">
        <v>0</v>
      </c>
      <c r="R4">
        <v>0</v>
      </c>
      <c r="S4" s="1">
        <f t="shared" si="0"/>
        <v>0.47739000000000043</v>
      </c>
      <c r="T4" s="2">
        <f t="shared" ref="T4:T26" si="1">T3-M4+N4</f>
        <v>47.73900000000004</v>
      </c>
    </row>
    <row r="5" spans="1:24" x14ac:dyDescent="0.2">
      <c r="A5" t="s">
        <v>400</v>
      </c>
      <c r="D5">
        <v>0</v>
      </c>
      <c r="E5">
        <v>4.87575</v>
      </c>
      <c r="L5" t="s">
        <v>400</v>
      </c>
      <c r="M5">
        <v>4.8760000000000003</v>
      </c>
      <c r="N5">
        <v>0</v>
      </c>
      <c r="O5">
        <v>0</v>
      </c>
      <c r="P5">
        <v>4.87575</v>
      </c>
      <c r="Q5">
        <v>0</v>
      </c>
      <c r="R5">
        <v>0</v>
      </c>
      <c r="S5" s="1">
        <f t="shared" si="0"/>
        <v>0.4286300000000004</v>
      </c>
      <c r="T5" s="2">
        <f t="shared" si="1"/>
        <v>42.863000000000042</v>
      </c>
    </row>
    <row r="6" spans="1:24" x14ac:dyDescent="0.2">
      <c r="A6" t="s">
        <v>401</v>
      </c>
      <c r="D6">
        <v>0</v>
      </c>
      <c r="E6">
        <v>6.8425500000000001</v>
      </c>
      <c r="L6" t="s">
        <v>401</v>
      </c>
      <c r="M6">
        <v>6.843</v>
      </c>
      <c r="N6">
        <v>0</v>
      </c>
      <c r="O6">
        <v>0</v>
      </c>
      <c r="P6">
        <v>6.8425500000000001</v>
      </c>
      <c r="Q6">
        <v>0</v>
      </c>
      <c r="R6">
        <v>0</v>
      </c>
      <c r="S6" s="1">
        <f t="shared" si="0"/>
        <v>0.36020000000000041</v>
      </c>
      <c r="T6" s="2">
        <f t="shared" si="1"/>
        <v>36.020000000000039</v>
      </c>
      <c r="V6" t="s">
        <v>20</v>
      </c>
      <c r="W6" t="s">
        <v>402</v>
      </c>
    </row>
    <row r="7" spans="1:24" x14ac:dyDescent="0.2">
      <c r="A7" t="s">
        <v>403</v>
      </c>
      <c r="D7">
        <v>0</v>
      </c>
      <c r="E7">
        <v>6.7637669999999996</v>
      </c>
      <c r="L7" t="s">
        <v>403</v>
      </c>
      <c r="M7">
        <v>6.7640000000000002</v>
      </c>
      <c r="N7">
        <v>0</v>
      </c>
      <c r="O7">
        <v>0</v>
      </c>
      <c r="P7">
        <v>6.7637669999999996</v>
      </c>
      <c r="Q7">
        <v>0</v>
      </c>
      <c r="R7">
        <v>0</v>
      </c>
      <c r="S7" s="1">
        <f t="shared" si="0"/>
        <v>0.29256000000000038</v>
      </c>
      <c r="T7" s="2">
        <f t="shared" si="1"/>
        <v>29.256000000000039</v>
      </c>
      <c r="V7" t="s">
        <v>23</v>
      </c>
      <c r="W7" t="s">
        <v>127</v>
      </c>
    </row>
    <row r="8" spans="1:24" x14ac:dyDescent="0.2">
      <c r="A8" t="s">
        <v>404</v>
      </c>
      <c r="D8">
        <v>0</v>
      </c>
      <c r="E8">
        <v>6.8677000000000001</v>
      </c>
      <c r="L8" t="s">
        <v>404</v>
      </c>
      <c r="M8">
        <v>6.8680000000000003</v>
      </c>
      <c r="N8">
        <v>0</v>
      </c>
      <c r="O8">
        <v>0</v>
      </c>
      <c r="P8">
        <v>6.8677000000000001</v>
      </c>
      <c r="Q8">
        <v>0</v>
      </c>
      <c r="R8">
        <v>0</v>
      </c>
      <c r="S8" s="1">
        <f t="shared" si="0"/>
        <v>0.22388000000000041</v>
      </c>
      <c r="T8" s="2">
        <f t="shared" si="1"/>
        <v>22.388000000000041</v>
      </c>
      <c r="V8" t="s">
        <v>26</v>
      </c>
      <c r="W8">
        <v>8.3000000000000004E-2</v>
      </c>
    </row>
    <row r="9" spans="1:24" x14ac:dyDescent="0.2">
      <c r="A9" t="s">
        <v>405</v>
      </c>
      <c r="D9">
        <v>0</v>
      </c>
      <c r="E9">
        <v>7.2715670000000001</v>
      </c>
      <c r="L9" t="s">
        <v>405</v>
      </c>
      <c r="M9">
        <v>7.2720000000000002</v>
      </c>
      <c r="N9">
        <v>0</v>
      </c>
      <c r="O9">
        <v>0</v>
      </c>
      <c r="P9">
        <v>7.2715670000000001</v>
      </c>
      <c r="Q9">
        <v>0</v>
      </c>
      <c r="R9">
        <v>0</v>
      </c>
      <c r="S9" s="1">
        <f t="shared" si="0"/>
        <v>0.15116000000000041</v>
      </c>
      <c r="T9" s="2">
        <f t="shared" si="1"/>
        <v>15.116000000000041</v>
      </c>
      <c r="V9" t="s">
        <v>28</v>
      </c>
      <c r="W9">
        <f>W8/60</f>
        <v>1.3833333333333334E-3</v>
      </c>
    </row>
    <row r="10" spans="1:24" x14ac:dyDescent="0.2">
      <c r="A10" t="s">
        <v>406</v>
      </c>
      <c r="D10">
        <v>3.9428999999999998</v>
      </c>
      <c r="E10">
        <v>4.9089999999999998</v>
      </c>
      <c r="L10" t="s">
        <v>406</v>
      </c>
      <c r="M10">
        <v>0.96599999999999997</v>
      </c>
      <c r="N10">
        <v>0</v>
      </c>
      <c r="O10">
        <v>3.9428999999999998</v>
      </c>
      <c r="P10">
        <v>4.9089999999999998</v>
      </c>
      <c r="Q10">
        <v>0</v>
      </c>
      <c r="R10">
        <v>0</v>
      </c>
      <c r="S10" s="1">
        <f t="shared" si="0"/>
        <v>0.1415000000000004</v>
      </c>
      <c r="T10" s="2">
        <f t="shared" si="1"/>
        <v>14.150000000000041</v>
      </c>
    </row>
    <row r="11" spans="1:24" x14ac:dyDescent="0.2">
      <c r="A11" t="s">
        <v>407</v>
      </c>
      <c r="D11">
        <v>16.619150000000001</v>
      </c>
      <c r="E11">
        <v>6.5994330000000003</v>
      </c>
      <c r="L11" t="s">
        <v>407</v>
      </c>
      <c r="M11">
        <v>0</v>
      </c>
      <c r="N11">
        <v>0</v>
      </c>
      <c r="O11">
        <v>16.619150000000001</v>
      </c>
      <c r="P11">
        <v>6.5994330000000003</v>
      </c>
      <c r="Q11">
        <v>10.019717</v>
      </c>
      <c r="R11">
        <v>0</v>
      </c>
      <c r="S11" s="1">
        <f t="shared" si="0"/>
        <v>0.1415000000000004</v>
      </c>
      <c r="T11" s="2">
        <f t="shared" si="1"/>
        <v>14.150000000000041</v>
      </c>
    </row>
    <row r="12" spans="1:24" x14ac:dyDescent="0.2">
      <c r="A12" t="s">
        <v>408</v>
      </c>
      <c r="D12">
        <v>26.824776</v>
      </c>
      <c r="E12">
        <v>6.7426000000000004</v>
      </c>
      <c r="L12" t="s">
        <v>408</v>
      </c>
      <c r="M12">
        <v>0</v>
      </c>
      <c r="N12">
        <v>15.505000000000001</v>
      </c>
      <c r="O12">
        <v>26.824776</v>
      </c>
      <c r="P12">
        <v>6.7426000000000004</v>
      </c>
      <c r="Q12">
        <v>4.5771759999999997</v>
      </c>
      <c r="R12">
        <v>0</v>
      </c>
      <c r="S12" s="1">
        <f t="shared" si="0"/>
        <v>0.29655000000000042</v>
      </c>
      <c r="T12" s="2">
        <f t="shared" si="1"/>
        <v>29.655000000000044</v>
      </c>
    </row>
    <row r="13" spans="1:24" x14ac:dyDescent="0.2">
      <c r="A13" t="s">
        <v>409</v>
      </c>
      <c r="D13">
        <v>38.595750000000002</v>
      </c>
      <c r="E13">
        <v>6.6912336000000003</v>
      </c>
      <c r="L13" t="s">
        <v>409</v>
      </c>
      <c r="M13">
        <v>0</v>
      </c>
      <c r="N13">
        <v>0</v>
      </c>
      <c r="O13">
        <v>38.595750000000002</v>
      </c>
      <c r="P13">
        <v>6.6912336000000003</v>
      </c>
      <c r="Q13">
        <v>31.904516399999999</v>
      </c>
      <c r="R13">
        <v>0</v>
      </c>
      <c r="S13" s="1">
        <f t="shared" si="0"/>
        <v>0.29655000000000042</v>
      </c>
      <c r="T13" s="2">
        <f t="shared" si="1"/>
        <v>29.655000000000044</v>
      </c>
    </row>
    <row r="14" spans="1:24" x14ac:dyDescent="0.2">
      <c r="A14" t="s">
        <v>410</v>
      </c>
      <c r="D14">
        <v>39.312823999999999</v>
      </c>
      <c r="E14">
        <v>6.8692000000000002</v>
      </c>
      <c r="L14" t="s">
        <v>410</v>
      </c>
      <c r="M14">
        <v>0</v>
      </c>
      <c r="N14">
        <v>0</v>
      </c>
      <c r="O14">
        <v>39.312823999999999</v>
      </c>
      <c r="P14">
        <v>6.8692000000000002</v>
      </c>
      <c r="Q14">
        <v>32.443624</v>
      </c>
      <c r="R14">
        <v>0</v>
      </c>
      <c r="S14" s="1">
        <f t="shared" si="0"/>
        <v>0.29655000000000042</v>
      </c>
      <c r="T14" s="2">
        <f t="shared" si="1"/>
        <v>29.655000000000044</v>
      </c>
    </row>
    <row r="15" spans="1:24" x14ac:dyDescent="0.2">
      <c r="A15" t="s">
        <v>411</v>
      </c>
      <c r="D15">
        <v>43.407893999999999</v>
      </c>
      <c r="E15">
        <v>6.7453000000000003</v>
      </c>
      <c r="L15" t="s">
        <v>411</v>
      </c>
      <c r="M15">
        <v>0</v>
      </c>
      <c r="N15">
        <v>0</v>
      </c>
      <c r="O15">
        <v>43.407893999999999</v>
      </c>
      <c r="P15">
        <v>6.7453000000000003</v>
      </c>
      <c r="Q15">
        <v>36.662593999999999</v>
      </c>
      <c r="R15">
        <v>0</v>
      </c>
      <c r="S15" s="1">
        <f t="shared" si="0"/>
        <v>0.29655000000000042</v>
      </c>
      <c r="T15" s="2">
        <f t="shared" si="1"/>
        <v>29.655000000000044</v>
      </c>
    </row>
    <row r="16" spans="1:24" x14ac:dyDescent="0.2">
      <c r="A16" t="s">
        <v>412</v>
      </c>
      <c r="D16">
        <v>38.552050000000001</v>
      </c>
      <c r="E16">
        <v>14.535399999999999</v>
      </c>
      <c r="L16" t="s">
        <v>412</v>
      </c>
      <c r="M16">
        <v>0</v>
      </c>
      <c r="N16">
        <v>24.016999999999999</v>
      </c>
      <c r="O16">
        <v>38.552050000000001</v>
      </c>
      <c r="P16">
        <v>14.535399999999999</v>
      </c>
      <c r="Q16">
        <v>0</v>
      </c>
      <c r="R16">
        <v>0</v>
      </c>
      <c r="S16" s="1">
        <f t="shared" si="0"/>
        <v>0.53672000000000042</v>
      </c>
      <c r="T16" s="2">
        <f t="shared" si="1"/>
        <v>53.67200000000004</v>
      </c>
    </row>
    <row r="17" spans="1:20" x14ac:dyDescent="0.2">
      <c r="A17" t="s">
        <v>413</v>
      </c>
      <c r="D17">
        <v>38.6265</v>
      </c>
      <c r="E17">
        <v>14.224600000000001</v>
      </c>
      <c r="L17" t="s">
        <v>413</v>
      </c>
      <c r="M17">
        <v>0</v>
      </c>
      <c r="N17">
        <v>24.402000000000001</v>
      </c>
      <c r="O17">
        <v>38.6265</v>
      </c>
      <c r="P17">
        <v>14.224600000000001</v>
      </c>
      <c r="Q17">
        <v>0</v>
      </c>
      <c r="R17">
        <v>0</v>
      </c>
      <c r="S17" s="1">
        <f t="shared" si="0"/>
        <v>0.78074000000000043</v>
      </c>
      <c r="T17" s="2">
        <f t="shared" si="1"/>
        <v>78.074000000000041</v>
      </c>
    </row>
    <row r="18" spans="1:20" x14ac:dyDescent="0.2">
      <c r="A18" t="s">
        <v>414</v>
      </c>
      <c r="D18">
        <v>33.246200000000002</v>
      </c>
      <c r="E18">
        <v>11.3215</v>
      </c>
      <c r="L18" t="s">
        <v>414</v>
      </c>
      <c r="M18">
        <v>0</v>
      </c>
      <c r="N18">
        <v>21.925000000000001</v>
      </c>
      <c r="O18">
        <v>33.246200000000002</v>
      </c>
      <c r="P18">
        <v>11.3215</v>
      </c>
      <c r="Q18">
        <v>0</v>
      </c>
      <c r="R18">
        <v>0</v>
      </c>
      <c r="S18" s="1">
        <f t="shared" si="0"/>
        <v>0.99999000000000038</v>
      </c>
      <c r="T18" s="2">
        <f t="shared" si="1"/>
        <v>99.999000000000038</v>
      </c>
    </row>
    <row r="19" spans="1:20" x14ac:dyDescent="0.2">
      <c r="A19" t="s">
        <v>415</v>
      </c>
      <c r="D19">
        <v>20.157374999999998</v>
      </c>
      <c r="E19">
        <v>13.7689</v>
      </c>
      <c r="L19" t="s">
        <v>415</v>
      </c>
      <c r="M19">
        <v>0</v>
      </c>
      <c r="N19">
        <v>0</v>
      </c>
      <c r="O19">
        <v>20.157374999999998</v>
      </c>
      <c r="P19">
        <v>13.7689</v>
      </c>
      <c r="Q19">
        <v>6.3884749999999979</v>
      </c>
      <c r="R19">
        <v>0</v>
      </c>
      <c r="S19" s="1">
        <f t="shared" si="0"/>
        <v>0.99999000000000038</v>
      </c>
      <c r="T19" s="2">
        <f t="shared" si="1"/>
        <v>99.999000000000038</v>
      </c>
    </row>
    <row r="20" spans="1:20" x14ac:dyDescent="0.2">
      <c r="A20" t="s">
        <v>416</v>
      </c>
      <c r="D20">
        <v>9.0691500000000005</v>
      </c>
      <c r="E20">
        <v>12.779201</v>
      </c>
      <c r="L20" t="s">
        <v>416</v>
      </c>
      <c r="M20">
        <v>3.71</v>
      </c>
      <c r="N20">
        <v>0</v>
      </c>
      <c r="O20">
        <v>9.0691500000000005</v>
      </c>
      <c r="P20">
        <v>12.779201</v>
      </c>
      <c r="Q20">
        <v>0</v>
      </c>
      <c r="R20">
        <v>0</v>
      </c>
      <c r="S20" s="1">
        <f t="shared" si="0"/>
        <v>0.96289000000000047</v>
      </c>
      <c r="T20" s="2">
        <f t="shared" si="1"/>
        <v>96.289000000000044</v>
      </c>
    </row>
    <row r="21" spans="1:20" x14ac:dyDescent="0.2">
      <c r="A21" t="s">
        <v>417</v>
      </c>
      <c r="D21">
        <v>1.0198666000000001</v>
      </c>
      <c r="E21">
        <v>12.1998</v>
      </c>
      <c r="L21" t="s">
        <v>417</v>
      </c>
      <c r="M21">
        <v>11.18</v>
      </c>
      <c r="N21">
        <v>0</v>
      </c>
      <c r="O21">
        <v>1.0198666000000001</v>
      </c>
      <c r="P21">
        <v>12.1998</v>
      </c>
      <c r="Q21">
        <v>0</v>
      </c>
      <c r="R21">
        <v>0</v>
      </c>
      <c r="S21" s="1">
        <f t="shared" si="0"/>
        <v>0.85109000000000035</v>
      </c>
      <c r="T21" s="2">
        <f t="shared" si="1"/>
        <v>85.109000000000037</v>
      </c>
    </row>
    <row r="22" spans="1:20" x14ac:dyDescent="0.2">
      <c r="A22" t="s">
        <v>418</v>
      </c>
      <c r="D22">
        <v>0</v>
      </c>
      <c r="E22">
        <v>11.73</v>
      </c>
      <c r="L22" t="s">
        <v>418</v>
      </c>
      <c r="M22">
        <v>11.73</v>
      </c>
      <c r="N22">
        <v>0</v>
      </c>
      <c r="O22">
        <v>0</v>
      </c>
      <c r="P22">
        <v>11.73</v>
      </c>
      <c r="Q22">
        <v>0</v>
      </c>
      <c r="R22">
        <v>0</v>
      </c>
      <c r="S22" s="1">
        <f t="shared" si="0"/>
        <v>0.73379000000000039</v>
      </c>
      <c r="T22" s="2">
        <f t="shared" si="1"/>
        <v>73.379000000000033</v>
      </c>
    </row>
    <row r="23" spans="1:20" x14ac:dyDescent="0.2">
      <c r="A23" t="s">
        <v>419</v>
      </c>
      <c r="D23">
        <v>0</v>
      </c>
      <c r="E23">
        <v>11.8706</v>
      </c>
      <c r="L23" t="s">
        <v>419</v>
      </c>
      <c r="M23">
        <v>11.871</v>
      </c>
      <c r="N23">
        <v>0</v>
      </c>
      <c r="O23">
        <v>0</v>
      </c>
      <c r="P23">
        <v>11.8706</v>
      </c>
      <c r="Q23">
        <v>0</v>
      </c>
      <c r="R23">
        <v>0</v>
      </c>
      <c r="S23" s="1">
        <f t="shared" si="0"/>
        <v>0.61508000000000029</v>
      </c>
      <c r="T23" s="2">
        <f t="shared" si="1"/>
        <v>61.508000000000031</v>
      </c>
    </row>
    <row r="24" spans="1:20" x14ac:dyDescent="0.2">
      <c r="A24" t="s">
        <v>420</v>
      </c>
      <c r="D24">
        <v>0</v>
      </c>
      <c r="E24">
        <v>11.375151000000001</v>
      </c>
      <c r="L24" t="s">
        <v>420</v>
      </c>
      <c r="M24">
        <v>11.375</v>
      </c>
      <c r="N24">
        <v>0</v>
      </c>
      <c r="O24">
        <v>0</v>
      </c>
      <c r="P24">
        <v>11.375151000000001</v>
      </c>
      <c r="Q24">
        <v>0</v>
      </c>
      <c r="R24">
        <v>0</v>
      </c>
      <c r="S24" s="1">
        <f t="shared" si="0"/>
        <v>0.50133000000000028</v>
      </c>
      <c r="T24" s="2">
        <f t="shared" si="1"/>
        <v>50.133000000000031</v>
      </c>
    </row>
    <row r="25" spans="1:20" x14ac:dyDescent="0.2">
      <c r="A25" t="s">
        <v>421</v>
      </c>
      <c r="D25">
        <v>0</v>
      </c>
      <c r="E25">
        <v>11.425967</v>
      </c>
      <c r="L25" t="s">
        <v>421</v>
      </c>
      <c r="M25">
        <v>11.426</v>
      </c>
      <c r="N25">
        <v>0</v>
      </c>
      <c r="O25">
        <v>0</v>
      </c>
      <c r="P25">
        <v>11.425967</v>
      </c>
      <c r="Q25">
        <v>0</v>
      </c>
      <c r="R25">
        <v>0</v>
      </c>
      <c r="S25" s="1">
        <f t="shared" si="0"/>
        <v>0.3870700000000003</v>
      </c>
      <c r="T25" s="2">
        <f t="shared" si="1"/>
        <v>38.707000000000029</v>
      </c>
    </row>
    <row r="26" spans="1:20" x14ac:dyDescent="0.2">
      <c r="A26" t="s">
        <v>422</v>
      </c>
      <c r="D26">
        <v>0</v>
      </c>
      <c r="E26">
        <v>9.6910000000000007</v>
      </c>
      <c r="L26" t="s">
        <v>422</v>
      </c>
      <c r="M26">
        <v>9.6910000000000007</v>
      </c>
      <c r="N26">
        <v>0</v>
      </c>
      <c r="O26">
        <v>0</v>
      </c>
      <c r="P26">
        <v>9.6910000000000007</v>
      </c>
      <c r="Q26">
        <v>0</v>
      </c>
      <c r="R26">
        <v>0</v>
      </c>
      <c r="S26" s="1">
        <f t="shared" si="0"/>
        <v>0.29016000000000025</v>
      </c>
      <c r="T26" s="2">
        <f t="shared" si="1"/>
        <v>29.016000000000027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X26"/>
  <sheetViews>
    <sheetView workbookViewId="0"/>
  </sheetViews>
  <sheetFormatPr baseColWidth="10" defaultColWidth="8.83203125" defaultRowHeight="15" x14ac:dyDescent="0.2"/>
  <sheetData>
    <row r="1" spans="1:24" x14ac:dyDescent="0.2">
      <c r="A1" t="s">
        <v>0</v>
      </c>
      <c r="D1" t="s">
        <v>1</v>
      </c>
      <c r="L1" t="s">
        <v>2</v>
      </c>
      <c r="R1" t="s">
        <v>3</v>
      </c>
      <c r="S1" s="1">
        <v>0.29016000000000031</v>
      </c>
      <c r="T1">
        <f>S1*V1</f>
        <v>29.01600000000003</v>
      </c>
      <c r="U1" t="s">
        <v>4</v>
      </c>
      <c r="V1">
        <v>100</v>
      </c>
      <c r="W1" t="s">
        <v>5</v>
      </c>
      <c r="X1" s="1">
        <v>0.1</v>
      </c>
    </row>
    <row r="2" spans="1:24" x14ac:dyDescent="0.2">
      <c r="A2" t="s">
        <v>6</v>
      </c>
      <c r="B2" t="s">
        <v>7</v>
      </c>
      <c r="C2" t="s">
        <v>8</v>
      </c>
      <c r="D2" t="s">
        <v>9</v>
      </c>
      <c r="E2" t="s">
        <v>10</v>
      </c>
      <c r="F2" t="s">
        <v>11</v>
      </c>
      <c r="G2" t="s">
        <v>12</v>
      </c>
      <c r="H2" t="s">
        <v>13</v>
      </c>
      <c r="I2" t="s">
        <v>14</v>
      </c>
      <c r="L2" t="s">
        <v>6</v>
      </c>
      <c r="M2" t="s">
        <v>7</v>
      </c>
      <c r="N2" t="s">
        <v>8</v>
      </c>
      <c r="O2" t="s">
        <v>9</v>
      </c>
      <c r="P2" t="s">
        <v>10</v>
      </c>
      <c r="Q2" t="s">
        <v>11</v>
      </c>
      <c r="R2" t="s">
        <v>12</v>
      </c>
      <c r="S2" t="s">
        <v>13</v>
      </c>
      <c r="T2" t="s">
        <v>14</v>
      </c>
      <c r="W2" t="s">
        <v>15</v>
      </c>
      <c r="X2" s="1">
        <v>1</v>
      </c>
    </row>
    <row r="3" spans="1:24" x14ac:dyDescent="0.2">
      <c r="A3" t="s">
        <v>423</v>
      </c>
      <c r="D3">
        <v>0</v>
      </c>
      <c r="E3">
        <v>7.4305000000000003</v>
      </c>
      <c r="L3" t="s">
        <v>423</v>
      </c>
      <c r="M3">
        <v>0</v>
      </c>
      <c r="N3">
        <v>0</v>
      </c>
      <c r="O3">
        <v>0</v>
      </c>
      <c r="P3">
        <v>7.4305000000000003</v>
      </c>
      <c r="Q3">
        <v>0</v>
      </c>
      <c r="R3">
        <v>7.4305000000000003</v>
      </c>
      <c r="S3" s="1">
        <f t="shared" ref="S3:S26" si="0">T3/V$1</f>
        <v>0.29016000000000031</v>
      </c>
      <c r="T3" s="2">
        <f>T1-M3+N3</f>
        <v>29.01600000000003</v>
      </c>
    </row>
    <row r="4" spans="1:24" x14ac:dyDescent="0.2">
      <c r="A4" t="s">
        <v>424</v>
      </c>
      <c r="D4">
        <v>0</v>
      </c>
      <c r="E4">
        <v>6.8895670000000004</v>
      </c>
      <c r="L4" t="s">
        <v>424</v>
      </c>
      <c r="M4">
        <v>0</v>
      </c>
      <c r="N4">
        <v>0</v>
      </c>
      <c r="O4">
        <v>0</v>
      </c>
      <c r="P4">
        <v>6.8895670000000004</v>
      </c>
      <c r="Q4">
        <v>0</v>
      </c>
      <c r="R4">
        <v>6.8895670000000004</v>
      </c>
      <c r="S4" s="1">
        <f t="shared" si="0"/>
        <v>0.29016000000000031</v>
      </c>
      <c r="T4" s="2">
        <f t="shared" ref="T4:T26" si="1">T3-M4+N4</f>
        <v>29.01600000000003</v>
      </c>
    </row>
    <row r="5" spans="1:24" x14ac:dyDescent="0.2">
      <c r="A5" t="s">
        <v>425</v>
      </c>
      <c r="D5">
        <v>0</v>
      </c>
      <c r="E5">
        <v>6.9120499999999998</v>
      </c>
      <c r="L5" t="s">
        <v>425</v>
      </c>
      <c r="M5">
        <v>0</v>
      </c>
      <c r="N5">
        <v>0</v>
      </c>
      <c r="O5">
        <v>0</v>
      </c>
      <c r="P5">
        <v>6.9120499999999998</v>
      </c>
      <c r="Q5">
        <v>0</v>
      </c>
      <c r="R5">
        <v>6.9120499999999998</v>
      </c>
      <c r="S5" s="1">
        <f t="shared" si="0"/>
        <v>0.29016000000000031</v>
      </c>
      <c r="T5" s="2">
        <f t="shared" si="1"/>
        <v>29.01600000000003</v>
      </c>
    </row>
    <row r="6" spans="1:24" x14ac:dyDescent="0.2">
      <c r="A6" t="s">
        <v>426</v>
      </c>
      <c r="D6">
        <v>0</v>
      </c>
      <c r="E6">
        <v>6.7784000000000004</v>
      </c>
      <c r="L6" t="s">
        <v>426</v>
      </c>
      <c r="M6">
        <v>0</v>
      </c>
      <c r="N6">
        <v>0</v>
      </c>
      <c r="O6">
        <v>0</v>
      </c>
      <c r="P6">
        <v>6.7784000000000004</v>
      </c>
      <c r="Q6">
        <v>0</v>
      </c>
      <c r="R6">
        <v>6.7784000000000004</v>
      </c>
      <c r="S6" s="1">
        <f t="shared" si="0"/>
        <v>0.29016000000000031</v>
      </c>
      <c r="T6" s="2">
        <f t="shared" si="1"/>
        <v>29.01600000000003</v>
      </c>
      <c r="V6" t="s">
        <v>20</v>
      </c>
      <c r="W6" t="s">
        <v>427</v>
      </c>
    </row>
    <row r="7" spans="1:24" x14ac:dyDescent="0.2">
      <c r="A7" t="s">
        <v>428</v>
      </c>
      <c r="D7">
        <v>0</v>
      </c>
      <c r="E7">
        <v>6.6796329999999999</v>
      </c>
      <c r="L7" t="s">
        <v>428</v>
      </c>
      <c r="M7">
        <v>0</v>
      </c>
      <c r="N7">
        <v>0</v>
      </c>
      <c r="O7">
        <v>0</v>
      </c>
      <c r="P7">
        <v>6.6796329999999999</v>
      </c>
      <c r="Q7">
        <v>0</v>
      </c>
      <c r="R7">
        <v>6.6796329999999999</v>
      </c>
      <c r="S7" s="1">
        <f t="shared" si="0"/>
        <v>0.29016000000000031</v>
      </c>
      <c r="T7" s="2">
        <f t="shared" si="1"/>
        <v>29.01600000000003</v>
      </c>
      <c r="V7" t="s">
        <v>23</v>
      </c>
      <c r="W7" t="s">
        <v>24</v>
      </c>
    </row>
    <row r="8" spans="1:24" x14ac:dyDescent="0.2">
      <c r="A8" t="s">
        <v>429</v>
      </c>
      <c r="D8">
        <v>0</v>
      </c>
      <c r="E8">
        <v>6.6291003000000002</v>
      </c>
      <c r="L8" t="s">
        <v>429</v>
      </c>
      <c r="M8">
        <v>0</v>
      </c>
      <c r="N8">
        <v>0</v>
      </c>
      <c r="O8">
        <v>0</v>
      </c>
      <c r="P8">
        <v>6.6291003000000002</v>
      </c>
      <c r="Q8">
        <v>0</v>
      </c>
      <c r="R8">
        <v>6.6291003000000002</v>
      </c>
      <c r="S8" s="1">
        <f t="shared" si="0"/>
        <v>0.29016000000000031</v>
      </c>
      <c r="T8" s="2">
        <f t="shared" si="1"/>
        <v>29.01600000000003</v>
      </c>
      <c r="V8" t="s">
        <v>26</v>
      </c>
      <c r="W8">
        <v>8.2000000000000003E-2</v>
      </c>
    </row>
    <row r="9" spans="1:24" x14ac:dyDescent="0.2">
      <c r="A9" t="s">
        <v>430</v>
      </c>
      <c r="D9">
        <v>0</v>
      </c>
      <c r="E9">
        <v>6.6077250000000003</v>
      </c>
      <c r="L9" t="s">
        <v>430</v>
      </c>
      <c r="M9">
        <v>0</v>
      </c>
      <c r="N9">
        <v>0</v>
      </c>
      <c r="O9">
        <v>0</v>
      </c>
      <c r="P9">
        <v>6.6077250000000003</v>
      </c>
      <c r="Q9">
        <v>0</v>
      </c>
      <c r="R9">
        <v>6.6077250000000003</v>
      </c>
      <c r="S9" s="1">
        <f t="shared" si="0"/>
        <v>0.29016000000000031</v>
      </c>
      <c r="T9" s="2">
        <f t="shared" si="1"/>
        <v>29.01600000000003</v>
      </c>
      <c r="V9" t="s">
        <v>28</v>
      </c>
      <c r="W9">
        <f>W8/60</f>
        <v>1.3666666666666666E-3</v>
      </c>
    </row>
    <row r="10" spans="1:24" x14ac:dyDescent="0.2">
      <c r="A10" t="s">
        <v>431</v>
      </c>
      <c r="D10">
        <v>0.34787544999999997</v>
      </c>
      <c r="E10">
        <v>6.5747004000000002</v>
      </c>
      <c r="L10" t="s">
        <v>431</v>
      </c>
      <c r="M10">
        <v>0</v>
      </c>
      <c r="N10">
        <v>0</v>
      </c>
      <c r="O10">
        <v>0.34787544999999997</v>
      </c>
      <c r="P10">
        <v>6.5747004000000002</v>
      </c>
      <c r="Q10">
        <v>0</v>
      </c>
      <c r="R10">
        <v>6.2268249500000001</v>
      </c>
      <c r="S10" s="1">
        <f t="shared" si="0"/>
        <v>0.29016000000000031</v>
      </c>
      <c r="T10" s="2">
        <f t="shared" si="1"/>
        <v>29.01600000000003</v>
      </c>
    </row>
    <row r="11" spans="1:24" x14ac:dyDescent="0.2">
      <c r="A11" t="s">
        <v>432</v>
      </c>
      <c r="D11">
        <v>2.2774749999999999</v>
      </c>
      <c r="E11">
        <v>6.7044199999999998</v>
      </c>
      <c r="L11" t="s">
        <v>432</v>
      </c>
      <c r="M11">
        <v>0</v>
      </c>
      <c r="N11">
        <v>0</v>
      </c>
      <c r="O11">
        <v>2.2774749999999999</v>
      </c>
      <c r="P11">
        <v>6.7044199999999998</v>
      </c>
      <c r="Q11">
        <v>0</v>
      </c>
      <c r="R11">
        <v>4.4269449999999999</v>
      </c>
      <c r="S11" s="1">
        <f t="shared" si="0"/>
        <v>0.29016000000000031</v>
      </c>
      <c r="T11" s="2">
        <f t="shared" si="1"/>
        <v>29.01600000000003</v>
      </c>
    </row>
    <row r="12" spans="1:24" x14ac:dyDescent="0.2">
      <c r="A12" t="s">
        <v>433</v>
      </c>
      <c r="D12">
        <v>2.3811499999999999</v>
      </c>
      <c r="E12">
        <v>6.7044199999999998</v>
      </c>
      <c r="L12" t="s">
        <v>433</v>
      </c>
      <c r="M12">
        <v>0</v>
      </c>
      <c r="N12">
        <v>0</v>
      </c>
      <c r="O12">
        <v>2.3811499999999999</v>
      </c>
      <c r="P12">
        <v>6.7044199999999998</v>
      </c>
      <c r="Q12">
        <v>0</v>
      </c>
      <c r="R12">
        <v>4.3232699999999999</v>
      </c>
      <c r="S12" s="1">
        <f t="shared" si="0"/>
        <v>0.29016000000000031</v>
      </c>
      <c r="T12" s="2">
        <f t="shared" si="1"/>
        <v>29.01600000000003</v>
      </c>
    </row>
    <row r="13" spans="1:24" x14ac:dyDescent="0.2">
      <c r="A13" t="s">
        <v>434</v>
      </c>
      <c r="D13">
        <v>1.9464751</v>
      </c>
      <c r="E13">
        <v>6.6763167000000001</v>
      </c>
      <c r="L13" t="s">
        <v>434</v>
      </c>
      <c r="M13">
        <v>0</v>
      </c>
      <c r="N13">
        <v>0</v>
      </c>
      <c r="O13">
        <v>1.9464751</v>
      </c>
      <c r="P13">
        <v>6.6763167000000001</v>
      </c>
      <c r="Q13">
        <v>0</v>
      </c>
      <c r="R13">
        <v>4.7298416000000003</v>
      </c>
      <c r="S13" s="1">
        <f t="shared" si="0"/>
        <v>0.29016000000000031</v>
      </c>
      <c r="T13" s="2">
        <f t="shared" si="1"/>
        <v>29.01600000000003</v>
      </c>
    </row>
    <row r="14" spans="1:24" x14ac:dyDescent="0.2">
      <c r="A14" t="s">
        <v>435</v>
      </c>
      <c r="D14">
        <v>3.9929253999999998</v>
      </c>
      <c r="E14">
        <v>6.6763167000000001</v>
      </c>
      <c r="L14" t="s">
        <v>435</v>
      </c>
      <c r="M14">
        <v>0</v>
      </c>
      <c r="N14">
        <v>0</v>
      </c>
      <c r="O14">
        <v>3.9929253999999998</v>
      </c>
      <c r="P14">
        <v>6.6763167000000001</v>
      </c>
      <c r="Q14">
        <v>0</v>
      </c>
      <c r="R14">
        <v>2.6833912999999998</v>
      </c>
      <c r="S14" s="1">
        <f t="shared" si="0"/>
        <v>0.29016000000000031</v>
      </c>
      <c r="T14" s="2">
        <f t="shared" si="1"/>
        <v>29.01600000000003</v>
      </c>
    </row>
    <row r="15" spans="1:24" x14ac:dyDescent="0.2">
      <c r="A15" t="s">
        <v>436</v>
      </c>
      <c r="D15">
        <v>4.2490759999999996</v>
      </c>
      <c r="E15">
        <v>6.6495499999999996</v>
      </c>
      <c r="L15" t="s">
        <v>436</v>
      </c>
      <c r="M15">
        <v>0</v>
      </c>
      <c r="N15">
        <v>0</v>
      </c>
      <c r="O15">
        <v>4.2490759999999996</v>
      </c>
      <c r="P15">
        <v>6.6495499999999996</v>
      </c>
      <c r="Q15">
        <v>0</v>
      </c>
      <c r="R15">
        <v>2.400474</v>
      </c>
      <c r="S15" s="1">
        <f t="shared" si="0"/>
        <v>0.29016000000000031</v>
      </c>
      <c r="T15" s="2">
        <f t="shared" si="1"/>
        <v>29.01600000000003</v>
      </c>
    </row>
    <row r="16" spans="1:24" x14ac:dyDescent="0.2">
      <c r="A16" t="s">
        <v>437</v>
      </c>
      <c r="D16">
        <v>4.3509507000000003</v>
      </c>
      <c r="E16">
        <v>6.8599329999999998</v>
      </c>
      <c r="L16" t="s">
        <v>437</v>
      </c>
      <c r="M16">
        <v>0</v>
      </c>
      <c r="N16">
        <v>0</v>
      </c>
      <c r="O16">
        <v>4.3509507000000003</v>
      </c>
      <c r="P16">
        <v>6.8599329999999998</v>
      </c>
      <c r="Q16">
        <v>0</v>
      </c>
      <c r="R16">
        <v>2.5089823</v>
      </c>
      <c r="S16" s="1">
        <f t="shared" si="0"/>
        <v>0.29016000000000031</v>
      </c>
      <c r="T16" s="2">
        <f t="shared" si="1"/>
        <v>29.01600000000003</v>
      </c>
    </row>
    <row r="17" spans="1:20" x14ac:dyDescent="0.2">
      <c r="A17" t="s">
        <v>438</v>
      </c>
      <c r="D17">
        <v>5.0456000000000003</v>
      </c>
      <c r="E17">
        <v>12.720401000000001</v>
      </c>
      <c r="L17" t="s">
        <v>438</v>
      </c>
      <c r="M17">
        <v>0</v>
      </c>
      <c r="N17">
        <v>0</v>
      </c>
      <c r="O17">
        <v>5.0456000000000003</v>
      </c>
      <c r="P17">
        <v>12.720401000000001</v>
      </c>
      <c r="Q17">
        <v>0</v>
      </c>
      <c r="R17">
        <v>7.6748010000000004</v>
      </c>
      <c r="S17" s="1">
        <f t="shared" si="0"/>
        <v>0.29016000000000031</v>
      </c>
      <c r="T17" s="2">
        <f t="shared" si="1"/>
        <v>29.01600000000003</v>
      </c>
    </row>
    <row r="18" spans="1:20" x14ac:dyDescent="0.2">
      <c r="A18" t="s">
        <v>439</v>
      </c>
      <c r="D18">
        <v>3.1352506</v>
      </c>
      <c r="E18">
        <v>12.944651</v>
      </c>
      <c r="L18" t="s">
        <v>439</v>
      </c>
      <c r="M18">
        <v>0</v>
      </c>
      <c r="N18">
        <v>0</v>
      </c>
      <c r="O18">
        <v>3.1352506</v>
      </c>
      <c r="P18">
        <v>12.944651</v>
      </c>
      <c r="Q18">
        <v>0</v>
      </c>
      <c r="R18">
        <v>9.8094004000000012</v>
      </c>
      <c r="S18" s="1">
        <f t="shared" si="0"/>
        <v>0.29016000000000031</v>
      </c>
      <c r="T18" s="2">
        <f t="shared" si="1"/>
        <v>29.01600000000003</v>
      </c>
    </row>
    <row r="19" spans="1:20" x14ac:dyDescent="0.2">
      <c r="A19" t="s">
        <v>440</v>
      </c>
      <c r="D19">
        <v>2.5392250000000001</v>
      </c>
      <c r="E19">
        <v>13.273866999999999</v>
      </c>
      <c r="L19" t="s">
        <v>440</v>
      </c>
      <c r="M19">
        <v>0</v>
      </c>
      <c r="N19">
        <v>0</v>
      </c>
      <c r="O19">
        <v>2.5392250000000001</v>
      </c>
      <c r="P19">
        <v>13.273866999999999</v>
      </c>
      <c r="Q19">
        <v>0</v>
      </c>
      <c r="R19">
        <v>10.734641999999999</v>
      </c>
      <c r="S19" s="1">
        <f t="shared" si="0"/>
        <v>0.29016000000000031</v>
      </c>
      <c r="T19" s="2">
        <f t="shared" si="1"/>
        <v>29.01600000000003</v>
      </c>
    </row>
    <row r="20" spans="1:20" x14ac:dyDescent="0.2">
      <c r="A20" t="s">
        <v>441</v>
      </c>
      <c r="D20">
        <v>0.89677479999999998</v>
      </c>
      <c r="E20">
        <v>13.533106</v>
      </c>
      <c r="L20" t="s">
        <v>441</v>
      </c>
      <c r="M20">
        <v>0</v>
      </c>
      <c r="N20">
        <v>0</v>
      </c>
      <c r="O20">
        <v>0.89677479999999998</v>
      </c>
      <c r="P20">
        <v>13.533106</v>
      </c>
      <c r="Q20">
        <v>0</v>
      </c>
      <c r="R20">
        <v>12.636331200000001</v>
      </c>
      <c r="S20" s="1">
        <f t="shared" si="0"/>
        <v>0.29016000000000031</v>
      </c>
      <c r="T20" s="2">
        <f t="shared" si="1"/>
        <v>29.01600000000003</v>
      </c>
    </row>
    <row r="21" spans="1:20" x14ac:dyDescent="0.2">
      <c r="A21" t="s">
        <v>442</v>
      </c>
      <c r="D21">
        <v>6.4875450000000001E-2</v>
      </c>
      <c r="E21">
        <v>8.0541999999999998</v>
      </c>
      <c r="L21" t="s">
        <v>442</v>
      </c>
      <c r="M21">
        <v>0</v>
      </c>
      <c r="N21">
        <v>0</v>
      </c>
      <c r="O21">
        <v>6.4875450000000001E-2</v>
      </c>
      <c r="P21">
        <v>8.0541999999999998</v>
      </c>
      <c r="Q21">
        <v>0</v>
      </c>
      <c r="R21">
        <v>7.9893245500000001</v>
      </c>
      <c r="S21" s="1">
        <f t="shared" si="0"/>
        <v>0.29016000000000031</v>
      </c>
      <c r="T21" s="2">
        <f t="shared" si="1"/>
        <v>29.01600000000003</v>
      </c>
    </row>
    <row r="22" spans="1:20" x14ac:dyDescent="0.2">
      <c r="A22" t="s">
        <v>443</v>
      </c>
      <c r="D22">
        <v>0</v>
      </c>
      <c r="E22">
        <v>7.5569499999999996</v>
      </c>
      <c r="L22" t="s">
        <v>443</v>
      </c>
      <c r="M22">
        <v>5.8170000000000002</v>
      </c>
      <c r="N22">
        <v>0</v>
      </c>
      <c r="O22">
        <v>0</v>
      </c>
      <c r="P22">
        <v>7.5569499999999996</v>
      </c>
      <c r="Q22">
        <v>0</v>
      </c>
      <c r="R22">
        <v>1.739949999999999</v>
      </c>
      <c r="S22" s="1">
        <f t="shared" si="0"/>
        <v>0.23199000000000031</v>
      </c>
      <c r="T22" s="2">
        <f t="shared" si="1"/>
        <v>23.19900000000003</v>
      </c>
    </row>
    <row r="23" spans="1:20" x14ac:dyDescent="0.2">
      <c r="A23" t="s">
        <v>444</v>
      </c>
      <c r="D23">
        <v>0</v>
      </c>
      <c r="E23">
        <v>7.0597000000000003</v>
      </c>
      <c r="L23" t="s">
        <v>444</v>
      </c>
      <c r="M23">
        <v>0</v>
      </c>
      <c r="N23">
        <v>0</v>
      </c>
      <c r="O23">
        <v>0</v>
      </c>
      <c r="P23">
        <v>7.0597000000000003</v>
      </c>
      <c r="Q23">
        <v>0</v>
      </c>
      <c r="R23">
        <v>7.0597000000000003</v>
      </c>
      <c r="S23" s="1">
        <f t="shared" si="0"/>
        <v>0.23199000000000031</v>
      </c>
      <c r="T23" s="2">
        <f t="shared" si="1"/>
        <v>23.19900000000003</v>
      </c>
    </row>
    <row r="24" spans="1:20" x14ac:dyDescent="0.2">
      <c r="A24" t="s">
        <v>445</v>
      </c>
      <c r="D24">
        <v>0</v>
      </c>
      <c r="E24">
        <v>6.5624504000000004</v>
      </c>
      <c r="L24" t="s">
        <v>445</v>
      </c>
      <c r="M24">
        <v>6.5620000000000003</v>
      </c>
      <c r="N24">
        <v>0</v>
      </c>
      <c r="O24">
        <v>0</v>
      </c>
      <c r="P24">
        <v>6.5624504000000004</v>
      </c>
      <c r="Q24">
        <v>0</v>
      </c>
      <c r="R24">
        <v>0</v>
      </c>
      <c r="S24" s="1">
        <f t="shared" si="0"/>
        <v>0.1663700000000003</v>
      </c>
      <c r="T24" s="2">
        <f t="shared" si="1"/>
        <v>16.637000000000029</v>
      </c>
    </row>
    <row r="25" spans="1:20" x14ac:dyDescent="0.2">
      <c r="A25" t="s">
        <v>446</v>
      </c>
      <c r="D25">
        <v>0</v>
      </c>
      <c r="E25">
        <v>6.5996499999999996</v>
      </c>
      <c r="L25" t="s">
        <v>446</v>
      </c>
      <c r="M25">
        <v>0</v>
      </c>
      <c r="N25">
        <v>0</v>
      </c>
      <c r="O25">
        <v>0</v>
      </c>
      <c r="P25">
        <v>6.5996499999999996</v>
      </c>
      <c r="Q25">
        <v>0</v>
      </c>
      <c r="R25">
        <v>6.5996499999999996</v>
      </c>
      <c r="S25" s="1">
        <f t="shared" si="0"/>
        <v>0.1663700000000003</v>
      </c>
      <c r="T25" s="2">
        <f t="shared" si="1"/>
        <v>16.637000000000029</v>
      </c>
    </row>
    <row r="26" spans="1:20" x14ac:dyDescent="0.2">
      <c r="A26" t="s">
        <v>447</v>
      </c>
      <c r="D26">
        <v>0</v>
      </c>
      <c r="E26">
        <v>6.6368499999999999</v>
      </c>
      <c r="L26" t="s">
        <v>447</v>
      </c>
      <c r="M26">
        <v>6.6369999999999996</v>
      </c>
      <c r="N26">
        <v>0</v>
      </c>
      <c r="O26">
        <v>0</v>
      </c>
      <c r="P26">
        <v>6.6368499999999999</v>
      </c>
      <c r="Q26">
        <v>0</v>
      </c>
      <c r="R26">
        <v>0</v>
      </c>
      <c r="S26" s="1">
        <f t="shared" si="0"/>
        <v>0.10000000000000028</v>
      </c>
      <c r="T26" s="2">
        <f t="shared" si="1"/>
        <v>10.000000000000028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X26"/>
  <sheetViews>
    <sheetView workbookViewId="0"/>
  </sheetViews>
  <sheetFormatPr baseColWidth="10" defaultColWidth="8.83203125" defaultRowHeight="15" x14ac:dyDescent="0.2"/>
  <sheetData>
    <row r="1" spans="1:24" x14ac:dyDescent="0.2">
      <c r="A1" t="s">
        <v>0</v>
      </c>
      <c r="D1" t="s">
        <v>1</v>
      </c>
      <c r="L1" t="s">
        <v>2</v>
      </c>
      <c r="R1" t="s">
        <v>3</v>
      </c>
      <c r="S1" s="1">
        <v>0.1000000000000003</v>
      </c>
      <c r="T1">
        <f>S1*V1</f>
        <v>10.00000000000003</v>
      </c>
      <c r="U1" t="s">
        <v>4</v>
      </c>
      <c r="V1">
        <v>100</v>
      </c>
      <c r="W1" t="s">
        <v>5</v>
      </c>
      <c r="X1" s="1">
        <v>0.1</v>
      </c>
    </row>
    <row r="2" spans="1:24" x14ac:dyDescent="0.2">
      <c r="A2" t="s">
        <v>6</v>
      </c>
      <c r="B2" t="s">
        <v>7</v>
      </c>
      <c r="C2" t="s">
        <v>8</v>
      </c>
      <c r="D2" t="s">
        <v>9</v>
      </c>
      <c r="E2" t="s">
        <v>10</v>
      </c>
      <c r="F2" t="s">
        <v>11</v>
      </c>
      <c r="G2" t="s">
        <v>12</v>
      </c>
      <c r="H2" t="s">
        <v>13</v>
      </c>
      <c r="I2" t="s">
        <v>14</v>
      </c>
      <c r="L2" t="s">
        <v>6</v>
      </c>
      <c r="M2" t="s">
        <v>7</v>
      </c>
      <c r="N2" t="s">
        <v>8</v>
      </c>
      <c r="O2" t="s">
        <v>9</v>
      </c>
      <c r="P2" t="s">
        <v>10</v>
      </c>
      <c r="Q2" t="s">
        <v>11</v>
      </c>
      <c r="R2" t="s">
        <v>12</v>
      </c>
      <c r="S2" t="s">
        <v>13</v>
      </c>
      <c r="T2" t="s">
        <v>14</v>
      </c>
      <c r="W2" t="s">
        <v>15</v>
      </c>
      <c r="X2" s="1">
        <v>1</v>
      </c>
    </row>
    <row r="3" spans="1:24" x14ac:dyDescent="0.2">
      <c r="A3" t="s">
        <v>448</v>
      </c>
      <c r="D3">
        <v>0</v>
      </c>
      <c r="E3">
        <v>6.5659666000000003</v>
      </c>
      <c r="L3" t="s">
        <v>448</v>
      </c>
      <c r="M3">
        <v>0</v>
      </c>
      <c r="N3">
        <v>0</v>
      </c>
      <c r="O3">
        <v>0</v>
      </c>
      <c r="P3">
        <v>6.5659666000000003</v>
      </c>
      <c r="Q3">
        <v>0</v>
      </c>
      <c r="R3">
        <v>6.5659666000000003</v>
      </c>
      <c r="S3" s="1">
        <f t="shared" ref="S3:S26" si="0">T3/V$1</f>
        <v>0.1000000000000003</v>
      </c>
      <c r="T3" s="2">
        <f>T1-M3+N3</f>
        <v>10.00000000000003</v>
      </c>
    </row>
    <row r="4" spans="1:24" x14ac:dyDescent="0.2">
      <c r="A4" t="s">
        <v>449</v>
      </c>
      <c r="D4">
        <v>0</v>
      </c>
      <c r="E4">
        <v>7.0102333999999997</v>
      </c>
      <c r="L4" t="s">
        <v>449</v>
      </c>
      <c r="M4">
        <v>0</v>
      </c>
      <c r="N4">
        <v>0</v>
      </c>
      <c r="O4">
        <v>0</v>
      </c>
      <c r="P4">
        <v>7.0102333999999997</v>
      </c>
      <c r="Q4">
        <v>0</v>
      </c>
      <c r="R4">
        <v>7.0102333999999997</v>
      </c>
      <c r="S4" s="1">
        <f t="shared" si="0"/>
        <v>0.1000000000000003</v>
      </c>
      <c r="T4" s="2">
        <f t="shared" ref="T4:T26" si="1">T3-M4+N4</f>
        <v>10.00000000000003</v>
      </c>
    </row>
    <row r="5" spans="1:24" x14ac:dyDescent="0.2">
      <c r="A5" t="s">
        <v>450</v>
      </c>
      <c r="D5">
        <v>0</v>
      </c>
      <c r="E5">
        <v>6.5542999999999996</v>
      </c>
      <c r="L5" t="s">
        <v>450</v>
      </c>
      <c r="M5">
        <v>0</v>
      </c>
      <c r="N5">
        <v>0</v>
      </c>
      <c r="O5">
        <v>0</v>
      </c>
      <c r="P5">
        <v>6.5542999999999996</v>
      </c>
      <c r="Q5">
        <v>0</v>
      </c>
      <c r="R5">
        <v>6.5542999999999996</v>
      </c>
      <c r="S5" s="1">
        <f t="shared" si="0"/>
        <v>0.1000000000000003</v>
      </c>
      <c r="T5" s="2">
        <f t="shared" si="1"/>
        <v>10.00000000000003</v>
      </c>
    </row>
    <row r="6" spans="1:24" x14ac:dyDescent="0.2">
      <c r="A6" t="s">
        <v>451</v>
      </c>
      <c r="D6">
        <v>0</v>
      </c>
      <c r="E6">
        <v>5.5138999999999996</v>
      </c>
      <c r="L6" t="s">
        <v>451</v>
      </c>
      <c r="M6">
        <v>0</v>
      </c>
      <c r="N6">
        <v>0</v>
      </c>
      <c r="O6">
        <v>0</v>
      </c>
      <c r="P6">
        <v>5.5138999999999996</v>
      </c>
      <c r="Q6">
        <v>0</v>
      </c>
      <c r="R6">
        <v>5.5138999999999996</v>
      </c>
      <c r="S6" s="1">
        <f t="shared" si="0"/>
        <v>0.1000000000000003</v>
      </c>
      <c r="T6" s="2">
        <f t="shared" si="1"/>
        <v>10.00000000000003</v>
      </c>
      <c r="V6" t="s">
        <v>20</v>
      </c>
      <c r="W6" t="s">
        <v>452</v>
      </c>
    </row>
    <row r="7" spans="1:24" x14ac:dyDescent="0.2">
      <c r="A7" t="s">
        <v>453</v>
      </c>
      <c r="D7">
        <v>0</v>
      </c>
      <c r="E7">
        <v>6.5332002999999998</v>
      </c>
      <c r="L7" t="s">
        <v>453</v>
      </c>
      <c r="M7">
        <v>0</v>
      </c>
      <c r="N7">
        <v>0</v>
      </c>
      <c r="O7">
        <v>0</v>
      </c>
      <c r="P7">
        <v>6.5332002999999998</v>
      </c>
      <c r="Q7">
        <v>0</v>
      </c>
      <c r="R7">
        <v>6.5332002999999998</v>
      </c>
      <c r="S7" s="1">
        <f t="shared" si="0"/>
        <v>0.1000000000000003</v>
      </c>
      <c r="T7" s="2">
        <f t="shared" si="1"/>
        <v>10.00000000000003</v>
      </c>
      <c r="V7" t="s">
        <v>23</v>
      </c>
      <c r="W7" t="s">
        <v>454</v>
      </c>
    </row>
    <row r="8" spans="1:24" x14ac:dyDescent="0.2">
      <c r="A8" t="s">
        <v>455</v>
      </c>
      <c r="D8">
        <v>0</v>
      </c>
      <c r="E8">
        <v>7.5525000000000002</v>
      </c>
      <c r="L8" t="s">
        <v>455</v>
      </c>
      <c r="M8">
        <v>0</v>
      </c>
      <c r="N8">
        <v>0</v>
      </c>
      <c r="O8">
        <v>0</v>
      </c>
      <c r="P8">
        <v>7.5525000000000002</v>
      </c>
      <c r="Q8">
        <v>0</v>
      </c>
      <c r="R8">
        <v>7.5525000000000002</v>
      </c>
      <c r="S8" s="1">
        <f t="shared" si="0"/>
        <v>0.1000000000000003</v>
      </c>
      <c r="T8" s="2">
        <f t="shared" si="1"/>
        <v>10.00000000000003</v>
      </c>
      <c r="V8" t="s">
        <v>26</v>
      </c>
      <c r="W8">
        <v>8.4000000000000005E-2</v>
      </c>
    </row>
    <row r="9" spans="1:24" x14ac:dyDescent="0.2">
      <c r="A9" t="s">
        <v>456</v>
      </c>
      <c r="D9">
        <v>0</v>
      </c>
      <c r="E9">
        <v>6.5537333000000002</v>
      </c>
      <c r="L9" t="s">
        <v>456</v>
      </c>
      <c r="M9">
        <v>0</v>
      </c>
      <c r="N9">
        <v>0</v>
      </c>
      <c r="O9">
        <v>0</v>
      </c>
      <c r="P9">
        <v>6.5537333000000002</v>
      </c>
      <c r="Q9">
        <v>0</v>
      </c>
      <c r="R9">
        <v>6.5537333000000002</v>
      </c>
      <c r="S9" s="1">
        <f t="shared" si="0"/>
        <v>0.1000000000000003</v>
      </c>
      <c r="T9" s="2">
        <f t="shared" si="1"/>
        <v>10.00000000000003</v>
      </c>
      <c r="V9" t="s">
        <v>28</v>
      </c>
      <c r="W9">
        <f>W8/60</f>
        <v>1.4E-3</v>
      </c>
    </row>
    <row r="10" spans="1:24" x14ac:dyDescent="0.2">
      <c r="A10" t="s">
        <v>457</v>
      </c>
      <c r="D10">
        <v>0.21497408000000001</v>
      </c>
      <c r="E10">
        <v>6.5104503999999999</v>
      </c>
      <c r="L10" t="s">
        <v>457</v>
      </c>
      <c r="M10">
        <v>0</v>
      </c>
      <c r="N10">
        <v>0</v>
      </c>
      <c r="O10">
        <v>0.21497408000000001</v>
      </c>
      <c r="P10">
        <v>6.5104503999999999</v>
      </c>
      <c r="Q10">
        <v>0</v>
      </c>
      <c r="R10">
        <v>6.2954763199999997</v>
      </c>
      <c r="S10" s="1">
        <f t="shared" si="0"/>
        <v>0.1000000000000003</v>
      </c>
      <c r="T10" s="2">
        <f t="shared" si="1"/>
        <v>10.00000000000003</v>
      </c>
    </row>
    <row r="11" spans="1:24" x14ac:dyDescent="0.2">
      <c r="A11" t="s">
        <v>458</v>
      </c>
      <c r="D11">
        <v>1.0866753</v>
      </c>
      <c r="E11">
        <v>5.1529502999999997</v>
      </c>
      <c r="L11" t="s">
        <v>458</v>
      </c>
      <c r="M11">
        <v>0</v>
      </c>
      <c r="N11">
        <v>0</v>
      </c>
      <c r="O11">
        <v>1.0866753</v>
      </c>
      <c r="P11">
        <v>5.1529502999999997</v>
      </c>
      <c r="Q11">
        <v>0</v>
      </c>
      <c r="R11">
        <v>4.0662749999999992</v>
      </c>
      <c r="S11" s="1">
        <f t="shared" si="0"/>
        <v>0.1000000000000003</v>
      </c>
      <c r="T11" s="2">
        <f t="shared" si="1"/>
        <v>10.00000000000003</v>
      </c>
    </row>
    <row r="12" spans="1:24" x14ac:dyDescent="0.2">
      <c r="A12" t="s">
        <v>459</v>
      </c>
      <c r="D12">
        <v>8.9791509999999999</v>
      </c>
      <c r="E12">
        <v>6.7939999999999996</v>
      </c>
      <c r="L12" t="s">
        <v>459</v>
      </c>
      <c r="M12">
        <v>0</v>
      </c>
      <c r="N12">
        <v>2.1850000000000001</v>
      </c>
      <c r="O12">
        <v>8.9791509999999999</v>
      </c>
      <c r="P12">
        <v>6.7939999999999996</v>
      </c>
      <c r="Q12">
        <v>0</v>
      </c>
      <c r="R12">
        <v>0</v>
      </c>
      <c r="S12" s="1">
        <f t="shared" si="0"/>
        <v>0.12185000000000031</v>
      </c>
      <c r="T12" s="2">
        <f t="shared" si="1"/>
        <v>12.185000000000031</v>
      </c>
    </row>
    <row r="13" spans="1:24" x14ac:dyDescent="0.2">
      <c r="A13" t="s">
        <v>460</v>
      </c>
      <c r="D13">
        <v>10.693474999999999</v>
      </c>
      <c r="E13">
        <v>6.5719000000000003</v>
      </c>
      <c r="L13" t="s">
        <v>460</v>
      </c>
      <c r="M13">
        <v>0</v>
      </c>
      <c r="N13">
        <v>4.1219999999999999</v>
      </c>
      <c r="O13">
        <v>10.693474999999999</v>
      </c>
      <c r="P13">
        <v>6.5719000000000003</v>
      </c>
      <c r="Q13">
        <v>0</v>
      </c>
      <c r="R13">
        <v>0</v>
      </c>
      <c r="S13" s="1">
        <f t="shared" si="0"/>
        <v>0.1630700000000003</v>
      </c>
      <c r="T13" s="2">
        <f t="shared" si="1"/>
        <v>16.307000000000031</v>
      </c>
    </row>
    <row r="14" spans="1:24" x14ac:dyDescent="0.2">
      <c r="A14" t="s">
        <v>461</v>
      </c>
      <c r="D14">
        <v>19.462050999999999</v>
      </c>
      <c r="E14">
        <v>6.5470499999999996</v>
      </c>
      <c r="L14" t="s">
        <v>461</v>
      </c>
      <c r="M14">
        <v>0</v>
      </c>
      <c r="N14">
        <v>12.914999999999999</v>
      </c>
      <c r="O14">
        <v>19.462050999999999</v>
      </c>
      <c r="P14">
        <v>6.5470499999999996</v>
      </c>
      <c r="Q14">
        <v>0</v>
      </c>
      <c r="R14">
        <v>0</v>
      </c>
      <c r="S14" s="1">
        <f t="shared" si="0"/>
        <v>0.29222000000000031</v>
      </c>
      <c r="T14" s="2">
        <f t="shared" si="1"/>
        <v>29.22200000000003</v>
      </c>
    </row>
    <row r="15" spans="1:24" x14ac:dyDescent="0.2">
      <c r="A15" t="s">
        <v>462</v>
      </c>
      <c r="D15">
        <v>15.996375</v>
      </c>
      <c r="E15">
        <v>7.1734</v>
      </c>
      <c r="L15" t="s">
        <v>462</v>
      </c>
      <c r="M15">
        <v>0</v>
      </c>
      <c r="N15">
        <v>8.8230000000000004</v>
      </c>
      <c r="O15">
        <v>15.996375</v>
      </c>
      <c r="P15">
        <v>7.1734</v>
      </c>
      <c r="Q15">
        <v>0</v>
      </c>
      <c r="R15">
        <v>0</v>
      </c>
      <c r="S15" s="1">
        <f t="shared" si="0"/>
        <v>0.38045000000000029</v>
      </c>
      <c r="T15" s="2">
        <f t="shared" si="1"/>
        <v>38.04500000000003</v>
      </c>
    </row>
    <row r="16" spans="1:24" x14ac:dyDescent="0.2">
      <c r="A16" t="s">
        <v>463</v>
      </c>
      <c r="D16">
        <v>24.741</v>
      </c>
      <c r="E16">
        <v>8.3429500000000001</v>
      </c>
      <c r="L16" t="s">
        <v>463</v>
      </c>
      <c r="M16">
        <v>0</v>
      </c>
      <c r="N16">
        <v>16.398</v>
      </c>
      <c r="O16">
        <v>24.741</v>
      </c>
      <c r="P16">
        <v>8.3429500000000001</v>
      </c>
      <c r="Q16">
        <v>0</v>
      </c>
      <c r="R16">
        <v>0</v>
      </c>
      <c r="S16" s="1">
        <f t="shared" si="0"/>
        <v>0.5444300000000003</v>
      </c>
      <c r="T16" s="2">
        <f t="shared" si="1"/>
        <v>54.443000000000026</v>
      </c>
    </row>
    <row r="17" spans="1:20" x14ac:dyDescent="0.2">
      <c r="A17" t="s">
        <v>464</v>
      </c>
      <c r="D17">
        <v>40.349926000000004</v>
      </c>
      <c r="E17">
        <v>8.9213500000000003</v>
      </c>
      <c r="L17" t="s">
        <v>464</v>
      </c>
      <c r="M17">
        <v>0</v>
      </c>
      <c r="N17">
        <v>31.428999999999998</v>
      </c>
      <c r="O17">
        <v>40.349926000000004</v>
      </c>
      <c r="P17">
        <v>8.9213500000000003</v>
      </c>
      <c r="Q17">
        <v>0</v>
      </c>
      <c r="R17">
        <v>0</v>
      </c>
      <c r="S17" s="1">
        <f t="shared" si="0"/>
        <v>0.85872000000000026</v>
      </c>
      <c r="T17" s="2">
        <f t="shared" si="1"/>
        <v>85.872000000000028</v>
      </c>
    </row>
    <row r="18" spans="1:20" x14ac:dyDescent="0.2">
      <c r="A18" t="s">
        <v>465</v>
      </c>
      <c r="D18">
        <v>18.729323999999998</v>
      </c>
      <c r="E18">
        <v>10.979850000000001</v>
      </c>
      <c r="L18" t="s">
        <v>465</v>
      </c>
      <c r="M18">
        <v>0</v>
      </c>
      <c r="N18">
        <v>7.7489999999999997</v>
      </c>
      <c r="O18">
        <v>18.729323999999998</v>
      </c>
      <c r="P18">
        <v>10.979850000000001</v>
      </c>
      <c r="Q18">
        <v>0</v>
      </c>
      <c r="R18">
        <v>0</v>
      </c>
      <c r="S18" s="1">
        <f t="shared" si="0"/>
        <v>0.93621000000000021</v>
      </c>
      <c r="T18" s="2">
        <f t="shared" si="1"/>
        <v>93.621000000000024</v>
      </c>
    </row>
    <row r="19" spans="1:20" x14ac:dyDescent="0.2">
      <c r="A19" t="s">
        <v>466</v>
      </c>
      <c r="D19">
        <v>9.7390760000000007</v>
      </c>
      <c r="E19">
        <v>13.7126</v>
      </c>
      <c r="L19" t="s">
        <v>466</v>
      </c>
      <c r="M19">
        <v>3.9740000000000002</v>
      </c>
      <c r="N19">
        <v>0</v>
      </c>
      <c r="O19">
        <v>9.7390760000000007</v>
      </c>
      <c r="P19">
        <v>13.7126</v>
      </c>
      <c r="Q19">
        <v>0</v>
      </c>
      <c r="R19">
        <v>0</v>
      </c>
      <c r="S19" s="1">
        <f t="shared" si="0"/>
        <v>0.89647000000000021</v>
      </c>
      <c r="T19" s="2">
        <f t="shared" si="1"/>
        <v>89.64700000000002</v>
      </c>
    </row>
    <row r="20" spans="1:20" x14ac:dyDescent="0.2">
      <c r="A20" t="s">
        <v>467</v>
      </c>
      <c r="D20">
        <v>4.8931500000000003</v>
      </c>
      <c r="E20">
        <v>13.118299499999999</v>
      </c>
      <c r="L20" t="s">
        <v>467</v>
      </c>
      <c r="M20">
        <v>8.2249999999999996</v>
      </c>
      <c r="N20">
        <v>0</v>
      </c>
      <c r="O20">
        <v>4.8931500000000003</v>
      </c>
      <c r="P20">
        <v>13.118299499999999</v>
      </c>
      <c r="Q20">
        <v>0</v>
      </c>
      <c r="R20">
        <v>0</v>
      </c>
      <c r="S20" s="1">
        <f t="shared" si="0"/>
        <v>0.81422000000000028</v>
      </c>
      <c r="T20" s="2">
        <f t="shared" si="1"/>
        <v>81.422000000000025</v>
      </c>
    </row>
    <row r="21" spans="1:20" x14ac:dyDescent="0.2">
      <c r="A21" t="s">
        <v>468</v>
      </c>
      <c r="D21">
        <v>0.70207560000000002</v>
      </c>
      <c r="E21">
        <v>12.086033</v>
      </c>
      <c r="L21" t="s">
        <v>468</v>
      </c>
      <c r="M21">
        <v>11.384</v>
      </c>
      <c r="N21">
        <v>0</v>
      </c>
      <c r="O21">
        <v>0.70207560000000002</v>
      </c>
      <c r="P21">
        <v>12.086033</v>
      </c>
      <c r="Q21">
        <v>0</v>
      </c>
      <c r="R21">
        <v>0</v>
      </c>
      <c r="S21" s="1">
        <f t="shared" si="0"/>
        <v>0.70038000000000022</v>
      </c>
      <c r="T21" s="2">
        <f t="shared" si="1"/>
        <v>70.038000000000025</v>
      </c>
    </row>
    <row r="22" spans="1:20" x14ac:dyDescent="0.2">
      <c r="A22" t="s">
        <v>469</v>
      </c>
      <c r="D22">
        <v>0</v>
      </c>
      <c r="E22">
        <v>12.405900000000001</v>
      </c>
      <c r="L22" t="s">
        <v>469</v>
      </c>
      <c r="M22">
        <v>12.406000000000001</v>
      </c>
      <c r="N22">
        <v>0</v>
      </c>
      <c r="O22">
        <v>0</v>
      </c>
      <c r="P22">
        <v>12.405900000000001</v>
      </c>
      <c r="Q22">
        <v>0</v>
      </c>
      <c r="R22">
        <v>0</v>
      </c>
      <c r="S22" s="1">
        <f t="shared" si="0"/>
        <v>0.57632000000000028</v>
      </c>
      <c r="T22" s="2">
        <f t="shared" si="1"/>
        <v>57.632000000000026</v>
      </c>
    </row>
    <row r="23" spans="1:20" x14ac:dyDescent="0.2">
      <c r="A23" t="s">
        <v>470</v>
      </c>
      <c r="D23">
        <v>0</v>
      </c>
      <c r="E23">
        <v>11.592616</v>
      </c>
      <c r="L23" t="s">
        <v>470</v>
      </c>
      <c r="M23">
        <v>11.593</v>
      </c>
      <c r="N23">
        <v>0</v>
      </c>
      <c r="O23">
        <v>0</v>
      </c>
      <c r="P23">
        <v>11.592616</v>
      </c>
      <c r="Q23">
        <v>0</v>
      </c>
      <c r="R23">
        <v>0</v>
      </c>
      <c r="S23" s="1">
        <f t="shared" si="0"/>
        <v>0.4603900000000003</v>
      </c>
      <c r="T23" s="2">
        <f t="shared" si="1"/>
        <v>46.03900000000003</v>
      </c>
    </row>
    <row r="24" spans="1:20" x14ac:dyDescent="0.2">
      <c r="A24" t="s">
        <v>471</v>
      </c>
      <c r="D24">
        <v>0</v>
      </c>
      <c r="E24">
        <v>11.324275</v>
      </c>
      <c r="L24" t="s">
        <v>471</v>
      </c>
      <c r="M24">
        <v>11.324</v>
      </c>
      <c r="N24">
        <v>0</v>
      </c>
      <c r="O24">
        <v>0</v>
      </c>
      <c r="P24">
        <v>11.324275</v>
      </c>
      <c r="Q24">
        <v>0</v>
      </c>
      <c r="R24">
        <v>0</v>
      </c>
      <c r="S24" s="1">
        <f t="shared" si="0"/>
        <v>0.34715000000000029</v>
      </c>
      <c r="T24" s="2">
        <f t="shared" si="1"/>
        <v>34.715000000000032</v>
      </c>
    </row>
    <row r="25" spans="1:20" x14ac:dyDescent="0.2">
      <c r="A25" t="s">
        <v>472</v>
      </c>
      <c r="D25">
        <v>0</v>
      </c>
      <c r="E25">
        <v>8.9883659999999992</v>
      </c>
      <c r="L25" t="s">
        <v>472</v>
      </c>
      <c r="M25">
        <v>8.9879999999999995</v>
      </c>
      <c r="N25">
        <v>0</v>
      </c>
      <c r="O25">
        <v>0</v>
      </c>
      <c r="P25">
        <v>8.9883659999999992</v>
      </c>
      <c r="Q25">
        <v>0</v>
      </c>
      <c r="R25">
        <v>0</v>
      </c>
      <c r="S25" s="1">
        <f t="shared" si="0"/>
        <v>0.25727000000000033</v>
      </c>
      <c r="T25" s="2">
        <f t="shared" si="1"/>
        <v>25.727000000000032</v>
      </c>
    </row>
    <row r="26" spans="1:20" x14ac:dyDescent="0.2">
      <c r="A26" t="s">
        <v>473</v>
      </c>
      <c r="D26">
        <v>0</v>
      </c>
      <c r="E26">
        <v>5.3979496999999999</v>
      </c>
      <c r="L26" t="s">
        <v>473</v>
      </c>
      <c r="M26">
        <v>5.3979999999999997</v>
      </c>
      <c r="N26">
        <v>0</v>
      </c>
      <c r="O26">
        <v>0</v>
      </c>
      <c r="P26">
        <v>5.3979496999999999</v>
      </c>
      <c r="Q26">
        <v>0</v>
      </c>
      <c r="R26">
        <v>0</v>
      </c>
      <c r="S26" s="1">
        <f t="shared" si="0"/>
        <v>0.20329000000000033</v>
      </c>
      <c r="T26" s="2">
        <f t="shared" si="1"/>
        <v>20.329000000000033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3161C2-A36E-3749-8A58-4199168C9F21}">
  <dimension ref="A1"/>
  <sheetViews>
    <sheetView workbookViewId="0"/>
  </sheetViews>
  <sheetFormatPr baseColWidth="10" defaultRowHeight="15" x14ac:dyDescent="0.2"/>
  <sheetData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D6342D-D6FE-7149-A8E5-34D5F5BFDBA7}">
  <dimension ref="A1"/>
  <sheetViews>
    <sheetView workbookViewId="0"/>
  </sheetViews>
  <sheetFormatPr baseColWidth="10" defaultRowHeight="15" x14ac:dyDescent="0.2"/>
  <sheetData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236382-6A98-A94D-8104-1AC088FE8044}">
  <dimension ref="A1"/>
  <sheetViews>
    <sheetView workbookViewId="0"/>
  </sheetViews>
  <sheetFormatPr baseColWidth="10" defaultRowHeight="15" x14ac:dyDescent="0.2"/>
  <sheetData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E67A14-97C3-5B49-A2D1-F10850E9008D}">
  <dimension ref="A1"/>
  <sheetViews>
    <sheetView workbookViewId="0"/>
  </sheetViews>
  <sheetFormatPr baseColWidth="10" defaultRowHeight="15" x14ac:dyDescent="0.2"/>
  <sheetData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X26"/>
  <sheetViews>
    <sheetView workbookViewId="0"/>
  </sheetViews>
  <sheetFormatPr baseColWidth="10" defaultColWidth="8.83203125" defaultRowHeight="15" x14ac:dyDescent="0.2"/>
  <sheetData>
    <row r="1" spans="1:24" x14ac:dyDescent="0.2">
      <c r="A1" t="s">
        <v>0</v>
      </c>
      <c r="D1" t="s">
        <v>1</v>
      </c>
      <c r="L1" t="s">
        <v>2</v>
      </c>
      <c r="R1" t="s">
        <v>3</v>
      </c>
      <c r="S1" s="1">
        <v>0.2032900000000003</v>
      </c>
      <c r="T1">
        <f>S1*V1</f>
        <v>20.329000000000029</v>
      </c>
      <c r="U1" t="s">
        <v>4</v>
      </c>
      <c r="V1">
        <v>100</v>
      </c>
      <c r="W1" t="s">
        <v>5</v>
      </c>
      <c r="X1" s="1">
        <v>0.1</v>
      </c>
    </row>
    <row r="2" spans="1:24" x14ac:dyDescent="0.2">
      <c r="A2" t="s">
        <v>6</v>
      </c>
      <c r="B2" t="s">
        <v>7</v>
      </c>
      <c r="C2" t="s">
        <v>8</v>
      </c>
      <c r="D2" t="s">
        <v>9</v>
      </c>
      <c r="E2" t="s">
        <v>10</v>
      </c>
      <c r="F2" t="s">
        <v>11</v>
      </c>
      <c r="G2" t="s">
        <v>12</v>
      </c>
      <c r="H2" t="s">
        <v>13</v>
      </c>
      <c r="I2" t="s">
        <v>14</v>
      </c>
      <c r="L2" t="s">
        <v>6</v>
      </c>
      <c r="M2" t="s">
        <v>7</v>
      </c>
      <c r="N2" t="s">
        <v>8</v>
      </c>
      <c r="O2" t="s">
        <v>9</v>
      </c>
      <c r="P2" t="s">
        <v>10</v>
      </c>
      <c r="Q2" t="s">
        <v>11</v>
      </c>
      <c r="R2" t="s">
        <v>12</v>
      </c>
      <c r="S2" t="s">
        <v>13</v>
      </c>
      <c r="T2" t="s">
        <v>14</v>
      </c>
      <c r="W2" t="s">
        <v>15</v>
      </c>
      <c r="X2" s="1">
        <v>1</v>
      </c>
    </row>
    <row r="3" spans="1:24" x14ac:dyDescent="0.2">
      <c r="A3" t="s">
        <v>474</v>
      </c>
      <c r="D3">
        <v>0</v>
      </c>
      <c r="E3">
        <v>6.4681499999999996</v>
      </c>
      <c r="L3" t="s">
        <v>474</v>
      </c>
      <c r="M3">
        <v>0</v>
      </c>
      <c r="N3">
        <v>0</v>
      </c>
      <c r="O3">
        <v>0</v>
      </c>
      <c r="P3">
        <v>6.4681499999999996</v>
      </c>
      <c r="Q3">
        <v>0</v>
      </c>
      <c r="R3">
        <v>6.4681499999999996</v>
      </c>
      <c r="S3" s="1">
        <f t="shared" ref="S3:S26" si="0">T3/V$1</f>
        <v>0.2032900000000003</v>
      </c>
      <c r="T3" s="2">
        <f>T1-M3+N3</f>
        <v>20.329000000000029</v>
      </c>
    </row>
    <row r="4" spans="1:24" x14ac:dyDescent="0.2">
      <c r="A4" t="s">
        <v>475</v>
      </c>
      <c r="D4">
        <v>0</v>
      </c>
      <c r="E4">
        <v>6.9217997000000002</v>
      </c>
      <c r="L4" t="s">
        <v>475</v>
      </c>
      <c r="M4">
        <v>0</v>
      </c>
      <c r="N4">
        <v>0</v>
      </c>
      <c r="O4">
        <v>0</v>
      </c>
      <c r="P4">
        <v>6.9217997000000002</v>
      </c>
      <c r="Q4">
        <v>0</v>
      </c>
      <c r="R4">
        <v>6.9217997000000002</v>
      </c>
      <c r="S4" s="1">
        <f t="shared" si="0"/>
        <v>0.2032900000000003</v>
      </c>
      <c r="T4" s="2">
        <f t="shared" ref="T4:T26" si="1">T3-M4+N4</f>
        <v>20.329000000000029</v>
      </c>
    </row>
    <row r="5" spans="1:24" x14ac:dyDescent="0.2">
      <c r="A5" t="s">
        <v>476</v>
      </c>
      <c r="D5">
        <v>0</v>
      </c>
      <c r="E5">
        <v>6.8768997000000001</v>
      </c>
      <c r="L5" t="s">
        <v>476</v>
      </c>
      <c r="M5">
        <v>0</v>
      </c>
      <c r="N5">
        <v>0</v>
      </c>
      <c r="O5">
        <v>0</v>
      </c>
      <c r="P5">
        <v>6.8768997000000001</v>
      </c>
      <c r="Q5">
        <v>0</v>
      </c>
      <c r="R5">
        <v>6.8768997000000001</v>
      </c>
      <c r="S5" s="1">
        <f t="shared" si="0"/>
        <v>0.2032900000000003</v>
      </c>
      <c r="T5" s="2">
        <f t="shared" si="1"/>
        <v>20.329000000000029</v>
      </c>
    </row>
    <row r="6" spans="1:24" x14ac:dyDescent="0.2">
      <c r="A6" t="s">
        <v>477</v>
      </c>
      <c r="D6">
        <v>0</v>
      </c>
      <c r="E6">
        <v>6.8226665999999998</v>
      </c>
      <c r="L6" t="s">
        <v>477</v>
      </c>
      <c r="M6">
        <v>0</v>
      </c>
      <c r="N6">
        <v>0</v>
      </c>
      <c r="O6">
        <v>0</v>
      </c>
      <c r="P6">
        <v>6.8226665999999998</v>
      </c>
      <c r="Q6">
        <v>0</v>
      </c>
      <c r="R6">
        <v>6.8226665999999998</v>
      </c>
      <c r="S6" s="1">
        <f t="shared" si="0"/>
        <v>0.2032900000000003</v>
      </c>
      <c r="T6" s="2">
        <f t="shared" si="1"/>
        <v>20.329000000000029</v>
      </c>
      <c r="V6" t="s">
        <v>20</v>
      </c>
      <c r="W6" t="s">
        <v>478</v>
      </c>
    </row>
    <row r="7" spans="1:24" x14ac:dyDescent="0.2">
      <c r="A7" t="s">
        <v>479</v>
      </c>
      <c r="D7">
        <v>0</v>
      </c>
      <c r="E7">
        <v>6.7684329999999999</v>
      </c>
      <c r="L7" t="s">
        <v>479</v>
      </c>
      <c r="M7">
        <v>0</v>
      </c>
      <c r="N7">
        <v>0</v>
      </c>
      <c r="O7">
        <v>0</v>
      </c>
      <c r="P7">
        <v>6.7684329999999999</v>
      </c>
      <c r="Q7">
        <v>0</v>
      </c>
      <c r="R7">
        <v>6.7684329999999999</v>
      </c>
      <c r="S7" s="1">
        <f t="shared" si="0"/>
        <v>0.2032900000000003</v>
      </c>
      <c r="T7" s="2">
        <f t="shared" si="1"/>
        <v>20.329000000000029</v>
      </c>
      <c r="V7" t="s">
        <v>23</v>
      </c>
      <c r="W7" t="s">
        <v>24</v>
      </c>
    </row>
    <row r="8" spans="1:24" x14ac:dyDescent="0.2">
      <c r="A8" t="s">
        <v>480</v>
      </c>
      <c r="D8">
        <v>0</v>
      </c>
      <c r="E8">
        <v>6.9353999999999996</v>
      </c>
      <c r="L8" t="s">
        <v>480</v>
      </c>
      <c r="M8">
        <v>0</v>
      </c>
      <c r="N8">
        <v>0</v>
      </c>
      <c r="O8">
        <v>0</v>
      </c>
      <c r="P8">
        <v>6.9353999999999996</v>
      </c>
      <c r="Q8">
        <v>0</v>
      </c>
      <c r="R8">
        <v>6.9353999999999996</v>
      </c>
      <c r="S8" s="1">
        <f t="shared" si="0"/>
        <v>0.2032900000000003</v>
      </c>
      <c r="T8" s="2">
        <f t="shared" si="1"/>
        <v>20.329000000000029</v>
      </c>
      <c r="V8" t="s">
        <v>26</v>
      </c>
      <c r="W8">
        <v>8.2000000000000003E-2</v>
      </c>
    </row>
    <row r="9" spans="1:24" x14ac:dyDescent="0.2">
      <c r="A9" t="s">
        <v>481</v>
      </c>
      <c r="D9">
        <v>0</v>
      </c>
      <c r="E9">
        <v>6.7193665999999999</v>
      </c>
      <c r="L9" t="s">
        <v>481</v>
      </c>
      <c r="M9">
        <v>0</v>
      </c>
      <c r="N9">
        <v>0</v>
      </c>
      <c r="O9">
        <v>0</v>
      </c>
      <c r="P9">
        <v>6.7193665999999999</v>
      </c>
      <c r="Q9">
        <v>0</v>
      </c>
      <c r="R9">
        <v>6.7193665999999999</v>
      </c>
      <c r="S9" s="1">
        <f t="shared" si="0"/>
        <v>0.2032900000000003</v>
      </c>
      <c r="T9" s="2">
        <f t="shared" si="1"/>
        <v>20.329000000000029</v>
      </c>
      <c r="V9" t="s">
        <v>28</v>
      </c>
      <c r="W9">
        <f>W8/60</f>
        <v>1.3666666666666666E-3</v>
      </c>
    </row>
    <row r="10" spans="1:24" x14ac:dyDescent="0.2">
      <c r="A10" t="s">
        <v>482</v>
      </c>
      <c r="D10">
        <v>0</v>
      </c>
      <c r="E10">
        <v>6.7343500000000001</v>
      </c>
      <c r="L10" t="s">
        <v>482</v>
      </c>
      <c r="M10">
        <v>0</v>
      </c>
      <c r="N10">
        <v>0</v>
      </c>
      <c r="O10">
        <v>0</v>
      </c>
      <c r="P10">
        <v>6.7343500000000001</v>
      </c>
      <c r="Q10">
        <v>0</v>
      </c>
      <c r="R10">
        <v>6.7343500000000001</v>
      </c>
      <c r="S10" s="1">
        <f t="shared" si="0"/>
        <v>0.2032900000000003</v>
      </c>
      <c r="T10" s="2">
        <f t="shared" si="1"/>
        <v>20.329000000000029</v>
      </c>
    </row>
    <row r="11" spans="1:24" x14ac:dyDescent="0.2">
      <c r="A11" t="s">
        <v>483</v>
      </c>
      <c r="D11">
        <v>0</v>
      </c>
      <c r="E11">
        <v>6.7458</v>
      </c>
      <c r="L11" t="s">
        <v>483</v>
      </c>
      <c r="M11">
        <v>0</v>
      </c>
      <c r="N11">
        <v>0</v>
      </c>
      <c r="O11">
        <v>0</v>
      </c>
      <c r="P11">
        <v>6.7458</v>
      </c>
      <c r="Q11">
        <v>0</v>
      </c>
      <c r="R11">
        <v>6.7458</v>
      </c>
      <c r="S11" s="1">
        <f t="shared" si="0"/>
        <v>0.2032900000000003</v>
      </c>
      <c r="T11" s="2">
        <f t="shared" si="1"/>
        <v>20.329000000000029</v>
      </c>
    </row>
    <row r="12" spans="1:24" x14ac:dyDescent="0.2">
      <c r="A12" t="s">
        <v>484</v>
      </c>
      <c r="D12">
        <v>0</v>
      </c>
      <c r="E12">
        <v>6.7603999999999997</v>
      </c>
      <c r="L12" t="s">
        <v>484</v>
      </c>
      <c r="M12">
        <v>0</v>
      </c>
      <c r="N12">
        <v>0</v>
      </c>
      <c r="O12">
        <v>0</v>
      </c>
      <c r="P12">
        <v>6.7603999999999997</v>
      </c>
      <c r="Q12">
        <v>0</v>
      </c>
      <c r="R12">
        <v>6.7603999999999997</v>
      </c>
      <c r="S12" s="1">
        <f t="shared" si="0"/>
        <v>0.2032900000000003</v>
      </c>
      <c r="T12" s="2">
        <f t="shared" si="1"/>
        <v>20.329000000000029</v>
      </c>
    </row>
    <row r="13" spans="1:24" x14ac:dyDescent="0.2">
      <c r="A13" t="s">
        <v>485</v>
      </c>
      <c r="D13">
        <v>0</v>
      </c>
      <c r="E13">
        <v>6.7234499999999997</v>
      </c>
      <c r="L13" t="s">
        <v>485</v>
      </c>
      <c r="M13">
        <v>0</v>
      </c>
      <c r="N13">
        <v>0</v>
      </c>
      <c r="O13">
        <v>0</v>
      </c>
      <c r="P13">
        <v>6.7234499999999997</v>
      </c>
      <c r="Q13">
        <v>0</v>
      </c>
      <c r="R13">
        <v>6.7234499999999997</v>
      </c>
      <c r="S13" s="1">
        <f t="shared" si="0"/>
        <v>0.2032900000000003</v>
      </c>
      <c r="T13" s="2">
        <f t="shared" si="1"/>
        <v>20.329000000000029</v>
      </c>
    </row>
    <row r="14" spans="1:24" x14ac:dyDescent="0.2">
      <c r="A14" t="s">
        <v>486</v>
      </c>
      <c r="D14">
        <v>0</v>
      </c>
      <c r="E14">
        <v>6.6877003000000004</v>
      </c>
      <c r="L14" t="s">
        <v>486</v>
      </c>
      <c r="M14">
        <v>0</v>
      </c>
      <c r="N14">
        <v>0</v>
      </c>
      <c r="O14">
        <v>0</v>
      </c>
      <c r="P14">
        <v>6.6877003000000004</v>
      </c>
      <c r="Q14">
        <v>0</v>
      </c>
      <c r="R14">
        <v>6.6877003000000004</v>
      </c>
      <c r="S14" s="1">
        <f t="shared" si="0"/>
        <v>0.2032900000000003</v>
      </c>
      <c r="T14" s="2">
        <f t="shared" si="1"/>
        <v>20.329000000000029</v>
      </c>
    </row>
    <row r="15" spans="1:24" x14ac:dyDescent="0.2">
      <c r="A15" t="s">
        <v>487</v>
      </c>
      <c r="D15">
        <v>0</v>
      </c>
      <c r="E15">
        <v>6.8375000000000004</v>
      </c>
      <c r="L15" t="s">
        <v>487</v>
      </c>
      <c r="M15">
        <v>0</v>
      </c>
      <c r="N15">
        <v>0</v>
      </c>
      <c r="O15">
        <v>0</v>
      </c>
      <c r="P15">
        <v>6.8375000000000004</v>
      </c>
      <c r="Q15">
        <v>0</v>
      </c>
      <c r="R15">
        <v>6.8375000000000004</v>
      </c>
      <c r="S15" s="1">
        <f t="shared" si="0"/>
        <v>0.2032900000000003</v>
      </c>
      <c r="T15" s="2">
        <f t="shared" si="1"/>
        <v>20.329000000000029</v>
      </c>
    </row>
    <row r="16" spans="1:24" x14ac:dyDescent="0.2">
      <c r="A16" t="s">
        <v>488</v>
      </c>
      <c r="D16">
        <v>0</v>
      </c>
      <c r="E16">
        <v>6.7614999999999998</v>
      </c>
      <c r="L16" t="s">
        <v>488</v>
      </c>
      <c r="M16">
        <v>0</v>
      </c>
      <c r="N16">
        <v>0</v>
      </c>
      <c r="O16">
        <v>0</v>
      </c>
      <c r="P16">
        <v>6.7614999999999998</v>
      </c>
      <c r="Q16">
        <v>0</v>
      </c>
      <c r="R16">
        <v>6.7614999999999998</v>
      </c>
      <c r="S16" s="1">
        <f t="shared" si="0"/>
        <v>0.2032900000000003</v>
      </c>
      <c r="T16" s="2">
        <f t="shared" si="1"/>
        <v>20.329000000000029</v>
      </c>
    </row>
    <row r="17" spans="1:20" x14ac:dyDescent="0.2">
      <c r="A17" t="s">
        <v>489</v>
      </c>
      <c r="D17">
        <v>0</v>
      </c>
      <c r="E17">
        <v>6.7078332999999999</v>
      </c>
      <c r="L17" t="s">
        <v>489</v>
      </c>
      <c r="M17">
        <v>0</v>
      </c>
      <c r="N17">
        <v>0</v>
      </c>
      <c r="O17">
        <v>0</v>
      </c>
      <c r="P17">
        <v>6.7078332999999999</v>
      </c>
      <c r="Q17">
        <v>0</v>
      </c>
      <c r="R17">
        <v>6.7078332999999999</v>
      </c>
      <c r="S17" s="1">
        <f t="shared" si="0"/>
        <v>0.2032900000000003</v>
      </c>
      <c r="T17" s="2">
        <f t="shared" si="1"/>
        <v>20.329000000000029</v>
      </c>
    </row>
    <row r="18" spans="1:20" x14ac:dyDescent="0.2">
      <c r="A18" t="s">
        <v>490</v>
      </c>
      <c r="D18">
        <v>0</v>
      </c>
      <c r="E18">
        <v>6.65</v>
      </c>
      <c r="L18" t="s">
        <v>490</v>
      </c>
      <c r="M18">
        <v>0</v>
      </c>
      <c r="N18">
        <v>0</v>
      </c>
      <c r="O18">
        <v>0</v>
      </c>
      <c r="P18">
        <v>6.65</v>
      </c>
      <c r="Q18">
        <v>0</v>
      </c>
      <c r="R18">
        <v>6.65</v>
      </c>
      <c r="S18" s="1">
        <f t="shared" si="0"/>
        <v>0.2032900000000003</v>
      </c>
      <c r="T18" s="2">
        <f t="shared" si="1"/>
        <v>20.329000000000029</v>
      </c>
    </row>
    <row r="19" spans="1:20" x14ac:dyDescent="0.2">
      <c r="A19" t="s">
        <v>491</v>
      </c>
      <c r="D19">
        <v>0</v>
      </c>
      <c r="E19">
        <v>6.8276000000000003</v>
      </c>
      <c r="L19" t="s">
        <v>491</v>
      </c>
      <c r="M19">
        <v>0</v>
      </c>
      <c r="N19">
        <v>0</v>
      </c>
      <c r="O19">
        <v>0</v>
      </c>
      <c r="P19">
        <v>6.8276000000000003</v>
      </c>
      <c r="Q19">
        <v>0</v>
      </c>
      <c r="R19">
        <v>6.8276000000000003</v>
      </c>
      <c r="S19" s="1">
        <f t="shared" si="0"/>
        <v>0.2032900000000003</v>
      </c>
      <c r="T19" s="2">
        <f t="shared" si="1"/>
        <v>20.329000000000029</v>
      </c>
    </row>
    <row r="20" spans="1:20" x14ac:dyDescent="0.2">
      <c r="A20" t="s">
        <v>492</v>
      </c>
      <c r="D20">
        <v>2.8997798000000001</v>
      </c>
      <c r="E20">
        <v>12.259</v>
      </c>
      <c r="L20" t="s">
        <v>492</v>
      </c>
      <c r="M20">
        <v>0</v>
      </c>
      <c r="N20">
        <v>0</v>
      </c>
      <c r="O20">
        <v>2.8997798000000001</v>
      </c>
      <c r="P20">
        <v>12.259</v>
      </c>
      <c r="Q20">
        <v>0</v>
      </c>
      <c r="R20">
        <v>9.3592201999999993</v>
      </c>
      <c r="S20" s="1">
        <f t="shared" si="0"/>
        <v>0.2032900000000003</v>
      </c>
      <c r="T20" s="2">
        <f t="shared" si="1"/>
        <v>20.329000000000029</v>
      </c>
    </row>
    <row r="21" spans="1:20" x14ac:dyDescent="0.2">
      <c r="A21" t="s">
        <v>493</v>
      </c>
      <c r="D21">
        <v>0.26327585999999997</v>
      </c>
      <c r="E21">
        <v>11.699833</v>
      </c>
      <c r="L21" t="s">
        <v>493</v>
      </c>
      <c r="M21">
        <v>10.329000000000001</v>
      </c>
      <c r="N21">
        <v>0</v>
      </c>
      <c r="O21">
        <v>0.26327585999999997</v>
      </c>
      <c r="P21">
        <v>11.699833</v>
      </c>
      <c r="Q21">
        <v>0</v>
      </c>
      <c r="R21">
        <v>1.1075571399999991</v>
      </c>
      <c r="S21" s="1">
        <f t="shared" si="0"/>
        <v>0.10000000000000028</v>
      </c>
      <c r="T21" s="2">
        <f t="shared" si="1"/>
        <v>10.000000000000028</v>
      </c>
    </row>
    <row r="22" spans="1:20" x14ac:dyDescent="0.2">
      <c r="A22" t="s">
        <v>494</v>
      </c>
      <c r="D22">
        <v>0</v>
      </c>
      <c r="E22">
        <v>11.057600000000001</v>
      </c>
      <c r="L22" t="s">
        <v>494</v>
      </c>
      <c r="M22">
        <v>0</v>
      </c>
      <c r="N22">
        <v>0</v>
      </c>
      <c r="O22">
        <v>0</v>
      </c>
      <c r="P22">
        <v>11.057600000000001</v>
      </c>
      <c r="Q22">
        <v>0</v>
      </c>
      <c r="R22">
        <v>11.057600000000001</v>
      </c>
      <c r="S22" s="1">
        <f t="shared" si="0"/>
        <v>0.10000000000000028</v>
      </c>
      <c r="T22" s="2">
        <f t="shared" si="1"/>
        <v>10.000000000000028</v>
      </c>
    </row>
    <row r="23" spans="1:20" x14ac:dyDescent="0.2">
      <c r="A23" t="s">
        <v>495</v>
      </c>
      <c r="D23">
        <v>0</v>
      </c>
      <c r="E23">
        <v>9.6177499999999991</v>
      </c>
      <c r="L23" t="s">
        <v>495</v>
      </c>
      <c r="M23">
        <v>0</v>
      </c>
      <c r="N23">
        <v>0</v>
      </c>
      <c r="O23">
        <v>0</v>
      </c>
      <c r="P23">
        <v>9.6177499999999991</v>
      </c>
      <c r="Q23">
        <v>0</v>
      </c>
      <c r="R23">
        <v>9.6177499999999991</v>
      </c>
      <c r="S23" s="1">
        <f t="shared" si="0"/>
        <v>0.10000000000000028</v>
      </c>
      <c r="T23" s="2">
        <f t="shared" si="1"/>
        <v>10.000000000000028</v>
      </c>
    </row>
    <row r="24" spans="1:20" x14ac:dyDescent="0.2">
      <c r="A24" t="s">
        <v>496</v>
      </c>
      <c r="D24">
        <v>0</v>
      </c>
      <c r="E24">
        <v>6.7378999999999998</v>
      </c>
      <c r="L24" t="s">
        <v>496</v>
      </c>
      <c r="M24">
        <v>0</v>
      </c>
      <c r="N24">
        <v>0</v>
      </c>
      <c r="O24">
        <v>0</v>
      </c>
      <c r="P24">
        <v>6.7378999999999998</v>
      </c>
      <c r="Q24">
        <v>0</v>
      </c>
      <c r="R24">
        <v>6.7378999999999998</v>
      </c>
      <c r="S24" s="1">
        <f t="shared" si="0"/>
        <v>0.10000000000000028</v>
      </c>
      <c r="T24" s="2">
        <f t="shared" si="1"/>
        <v>10.000000000000028</v>
      </c>
    </row>
    <row r="25" spans="1:20" x14ac:dyDescent="0.2">
      <c r="A25" t="s">
        <v>497</v>
      </c>
      <c r="D25">
        <v>0</v>
      </c>
      <c r="E25">
        <v>8.0816999999999997</v>
      </c>
      <c r="L25" t="s">
        <v>497</v>
      </c>
      <c r="M25">
        <v>0</v>
      </c>
      <c r="N25">
        <v>0</v>
      </c>
      <c r="O25">
        <v>0</v>
      </c>
      <c r="P25">
        <v>8.0816999999999997</v>
      </c>
      <c r="Q25">
        <v>0</v>
      </c>
      <c r="R25">
        <v>8.0816999999999997</v>
      </c>
      <c r="S25" s="1">
        <f t="shared" si="0"/>
        <v>0.10000000000000028</v>
      </c>
      <c r="T25" s="2">
        <f t="shared" si="1"/>
        <v>10.000000000000028</v>
      </c>
    </row>
    <row r="26" spans="1:20" x14ac:dyDescent="0.2">
      <c r="A26" t="s">
        <v>498</v>
      </c>
      <c r="D26">
        <v>0</v>
      </c>
      <c r="E26">
        <v>7.7081999999999997</v>
      </c>
      <c r="L26" t="s">
        <v>498</v>
      </c>
      <c r="M26">
        <v>0</v>
      </c>
      <c r="N26">
        <v>0</v>
      </c>
      <c r="O26">
        <v>0</v>
      </c>
      <c r="P26">
        <v>7.7081999999999997</v>
      </c>
      <c r="Q26">
        <v>0</v>
      </c>
      <c r="R26">
        <v>7.7081999999999997</v>
      </c>
      <c r="S26" s="1">
        <f t="shared" si="0"/>
        <v>0.10000000000000028</v>
      </c>
      <c r="T26" s="2">
        <f t="shared" si="1"/>
        <v>10.000000000000028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X26"/>
  <sheetViews>
    <sheetView workbookViewId="0"/>
  </sheetViews>
  <sheetFormatPr baseColWidth="10" defaultColWidth="8.83203125" defaultRowHeight="15" x14ac:dyDescent="0.2"/>
  <sheetData>
    <row r="1" spans="1:24" x14ac:dyDescent="0.2">
      <c r="A1" t="s">
        <v>0</v>
      </c>
      <c r="D1" t="s">
        <v>1</v>
      </c>
      <c r="L1" t="s">
        <v>2</v>
      </c>
      <c r="R1" t="s">
        <v>3</v>
      </c>
      <c r="S1" s="1">
        <v>0.1000000000000003</v>
      </c>
      <c r="T1">
        <f>S1*V1</f>
        <v>10.00000000000003</v>
      </c>
      <c r="U1" t="s">
        <v>4</v>
      </c>
      <c r="V1">
        <v>100</v>
      </c>
      <c r="W1" t="s">
        <v>5</v>
      </c>
      <c r="X1" s="1">
        <v>0.1</v>
      </c>
    </row>
    <row r="2" spans="1:24" x14ac:dyDescent="0.2">
      <c r="A2" t="s">
        <v>6</v>
      </c>
      <c r="B2" t="s">
        <v>7</v>
      </c>
      <c r="C2" t="s">
        <v>8</v>
      </c>
      <c r="D2" t="s">
        <v>9</v>
      </c>
      <c r="E2" t="s">
        <v>10</v>
      </c>
      <c r="F2" t="s">
        <v>11</v>
      </c>
      <c r="G2" t="s">
        <v>12</v>
      </c>
      <c r="H2" t="s">
        <v>13</v>
      </c>
      <c r="I2" t="s">
        <v>14</v>
      </c>
      <c r="L2" t="s">
        <v>6</v>
      </c>
      <c r="M2" t="s">
        <v>7</v>
      </c>
      <c r="N2" t="s">
        <v>8</v>
      </c>
      <c r="O2" t="s">
        <v>9</v>
      </c>
      <c r="P2" t="s">
        <v>10</v>
      </c>
      <c r="Q2" t="s">
        <v>11</v>
      </c>
      <c r="R2" t="s">
        <v>12</v>
      </c>
      <c r="S2" t="s">
        <v>13</v>
      </c>
      <c r="T2" t="s">
        <v>14</v>
      </c>
      <c r="W2" t="s">
        <v>15</v>
      </c>
      <c r="X2" s="1">
        <v>1</v>
      </c>
    </row>
    <row r="3" spans="1:24" x14ac:dyDescent="0.2">
      <c r="A3" t="s">
        <v>499</v>
      </c>
      <c r="D3">
        <v>0</v>
      </c>
      <c r="E3">
        <v>6.8308749999999998</v>
      </c>
      <c r="L3" t="s">
        <v>499</v>
      </c>
      <c r="M3">
        <v>0</v>
      </c>
      <c r="N3">
        <v>0</v>
      </c>
      <c r="O3">
        <v>0</v>
      </c>
      <c r="P3">
        <v>6.8308749999999998</v>
      </c>
      <c r="Q3">
        <v>0</v>
      </c>
      <c r="R3">
        <v>6.8308749999999998</v>
      </c>
      <c r="S3" s="1">
        <f t="shared" ref="S3:S26" si="0">T3/V$1</f>
        <v>0.1000000000000003</v>
      </c>
      <c r="T3" s="2">
        <f>T1-M3+N3</f>
        <v>10.00000000000003</v>
      </c>
    </row>
    <row r="4" spans="1:24" x14ac:dyDescent="0.2">
      <c r="A4" t="s">
        <v>500</v>
      </c>
      <c r="D4">
        <v>0</v>
      </c>
      <c r="E4">
        <v>5.2836249999999998</v>
      </c>
      <c r="L4" t="s">
        <v>500</v>
      </c>
      <c r="M4">
        <v>0</v>
      </c>
      <c r="N4">
        <v>0</v>
      </c>
      <c r="O4">
        <v>0</v>
      </c>
      <c r="P4">
        <v>5.2836249999999998</v>
      </c>
      <c r="Q4">
        <v>0</v>
      </c>
      <c r="R4">
        <v>5.2836249999999998</v>
      </c>
      <c r="S4" s="1">
        <f t="shared" si="0"/>
        <v>0.1000000000000003</v>
      </c>
      <c r="T4" s="2">
        <f t="shared" ref="T4:T26" si="1">T3-M4+N4</f>
        <v>10.00000000000003</v>
      </c>
    </row>
    <row r="5" spans="1:24" x14ac:dyDescent="0.2">
      <c r="A5" t="s">
        <v>501</v>
      </c>
      <c r="D5">
        <v>0</v>
      </c>
      <c r="E5">
        <v>6.6171002000000003</v>
      </c>
      <c r="L5" t="s">
        <v>501</v>
      </c>
      <c r="M5">
        <v>0</v>
      </c>
      <c r="N5">
        <v>0</v>
      </c>
      <c r="O5">
        <v>0</v>
      </c>
      <c r="P5">
        <v>6.6171002000000003</v>
      </c>
      <c r="Q5">
        <v>0</v>
      </c>
      <c r="R5">
        <v>6.6171002000000003</v>
      </c>
      <c r="S5" s="1">
        <f t="shared" si="0"/>
        <v>0.1000000000000003</v>
      </c>
      <c r="T5" s="2">
        <f t="shared" si="1"/>
        <v>10.00000000000003</v>
      </c>
    </row>
    <row r="6" spans="1:24" x14ac:dyDescent="0.2">
      <c r="A6" t="s">
        <v>502</v>
      </c>
      <c r="D6">
        <v>0</v>
      </c>
      <c r="E6">
        <v>6.8698499999999996</v>
      </c>
      <c r="L6" t="s">
        <v>502</v>
      </c>
      <c r="M6">
        <v>0</v>
      </c>
      <c r="N6">
        <v>0</v>
      </c>
      <c r="O6">
        <v>0</v>
      </c>
      <c r="P6">
        <v>6.8698499999999996</v>
      </c>
      <c r="Q6">
        <v>0</v>
      </c>
      <c r="R6">
        <v>6.8698499999999996</v>
      </c>
      <c r="S6" s="1">
        <f t="shared" si="0"/>
        <v>0.1000000000000003</v>
      </c>
      <c r="T6" s="2">
        <f t="shared" si="1"/>
        <v>10.00000000000003</v>
      </c>
      <c r="V6" t="s">
        <v>20</v>
      </c>
      <c r="W6" t="s">
        <v>503</v>
      </c>
    </row>
    <row r="7" spans="1:24" x14ac:dyDescent="0.2">
      <c r="A7" t="s">
        <v>504</v>
      </c>
      <c r="D7">
        <v>0</v>
      </c>
      <c r="E7">
        <v>7.8430834000000003</v>
      </c>
      <c r="L7" t="s">
        <v>504</v>
      </c>
      <c r="M7">
        <v>0</v>
      </c>
      <c r="N7">
        <v>0</v>
      </c>
      <c r="O7">
        <v>0</v>
      </c>
      <c r="P7">
        <v>7.8430834000000003</v>
      </c>
      <c r="Q7">
        <v>0</v>
      </c>
      <c r="R7">
        <v>7.8430834000000003</v>
      </c>
      <c r="S7" s="1">
        <f t="shared" si="0"/>
        <v>0.1000000000000003</v>
      </c>
      <c r="T7" s="2">
        <f t="shared" si="1"/>
        <v>10.00000000000003</v>
      </c>
      <c r="V7" t="s">
        <v>23</v>
      </c>
      <c r="W7" t="s">
        <v>127</v>
      </c>
    </row>
    <row r="8" spans="1:24" x14ac:dyDescent="0.2">
      <c r="A8" t="s">
        <v>505</v>
      </c>
      <c r="D8">
        <v>0</v>
      </c>
      <c r="E8">
        <v>6.8967004000000003</v>
      </c>
      <c r="L8" t="s">
        <v>505</v>
      </c>
      <c r="M8">
        <v>0</v>
      </c>
      <c r="N8">
        <v>0</v>
      </c>
      <c r="O8">
        <v>0</v>
      </c>
      <c r="P8">
        <v>6.8967004000000003</v>
      </c>
      <c r="Q8">
        <v>0</v>
      </c>
      <c r="R8">
        <v>6.8967004000000003</v>
      </c>
      <c r="S8" s="1">
        <f t="shared" si="0"/>
        <v>0.1000000000000003</v>
      </c>
      <c r="T8" s="2">
        <f t="shared" si="1"/>
        <v>10.00000000000003</v>
      </c>
      <c r="V8" t="s">
        <v>26</v>
      </c>
      <c r="W8">
        <v>8.3000000000000004E-2</v>
      </c>
    </row>
    <row r="9" spans="1:24" x14ac:dyDescent="0.2">
      <c r="A9" t="s">
        <v>506</v>
      </c>
      <c r="D9">
        <v>0</v>
      </c>
      <c r="E9">
        <v>5.7222004000000002</v>
      </c>
      <c r="L9" t="s">
        <v>506</v>
      </c>
      <c r="M9">
        <v>0</v>
      </c>
      <c r="N9">
        <v>0</v>
      </c>
      <c r="O9">
        <v>0</v>
      </c>
      <c r="P9">
        <v>5.7222004000000002</v>
      </c>
      <c r="Q9">
        <v>0</v>
      </c>
      <c r="R9">
        <v>5.7222004000000002</v>
      </c>
      <c r="S9" s="1">
        <f t="shared" si="0"/>
        <v>0.1000000000000003</v>
      </c>
      <c r="T9" s="2">
        <f t="shared" si="1"/>
        <v>10.00000000000003</v>
      </c>
      <c r="V9" t="s">
        <v>28</v>
      </c>
      <c r="W9">
        <f>W8/60</f>
        <v>1.3833333333333334E-3</v>
      </c>
    </row>
    <row r="10" spans="1:24" x14ac:dyDescent="0.2">
      <c r="A10" t="s">
        <v>507</v>
      </c>
      <c r="D10">
        <v>0</v>
      </c>
      <c r="E10">
        <v>6.8684500000000002</v>
      </c>
      <c r="L10" t="s">
        <v>507</v>
      </c>
      <c r="M10">
        <v>0</v>
      </c>
      <c r="N10">
        <v>0</v>
      </c>
      <c r="O10">
        <v>0</v>
      </c>
      <c r="P10">
        <v>6.8684500000000002</v>
      </c>
      <c r="Q10">
        <v>0</v>
      </c>
      <c r="R10">
        <v>6.8684500000000002</v>
      </c>
      <c r="S10" s="1">
        <f t="shared" si="0"/>
        <v>0.1000000000000003</v>
      </c>
      <c r="T10" s="2">
        <f t="shared" si="1"/>
        <v>10.00000000000003</v>
      </c>
    </row>
    <row r="11" spans="1:24" x14ac:dyDescent="0.2">
      <c r="A11" t="s">
        <v>508</v>
      </c>
      <c r="D11">
        <v>0</v>
      </c>
      <c r="E11">
        <v>6.7100999999999997</v>
      </c>
      <c r="L11" t="s">
        <v>508</v>
      </c>
      <c r="M11">
        <v>0</v>
      </c>
      <c r="N11">
        <v>0</v>
      </c>
      <c r="O11">
        <v>0</v>
      </c>
      <c r="P11">
        <v>6.7100999999999997</v>
      </c>
      <c r="Q11">
        <v>0</v>
      </c>
      <c r="R11">
        <v>6.7100999999999997</v>
      </c>
      <c r="S11" s="1">
        <f t="shared" si="0"/>
        <v>0.1000000000000003</v>
      </c>
      <c r="T11" s="2">
        <f t="shared" si="1"/>
        <v>10.00000000000003</v>
      </c>
    </row>
    <row r="12" spans="1:24" x14ac:dyDescent="0.2">
      <c r="A12" t="s">
        <v>509</v>
      </c>
      <c r="D12">
        <v>0</v>
      </c>
      <c r="E12">
        <v>6.7049000000000003</v>
      </c>
      <c r="L12" t="s">
        <v>509</v>
      </c>
      <c r="M12">
        <v>0</v>
      </c>
      <c r="N12">
        <v>0</v>
      </c>
      <c r="O12">
        <v>0</v>
      </c>
      <c r="P12">
        <v>6.7049000000000003</v>
      </c>
      <c r="Q12">
        <v>0</v>
      </c>
      <c r="R12">
        <v>6.7049000000000003</v>
      </c>
      <c r="S12" s="1">
        <f t="shared" si="0"/>
        <v>0.1000000000000003</v>
      </c>
      <c r="T12" s="2">
        <f t="shared" si="1"/>
        <v>10.00000000000003</v>
      </c>
    </row>
    <row r="13" spans="1:24" x14ac:dyDescent="0.2">
      <c r="A13" t="s">
        <v>510</v>
      </c>
      <c r="D13">
        <v>7.7558999999999996</v>
      </c>
      <c r="E13">
        <v>6.7279999999999998</v>
      </c>
      <c r="L13" t="s">
        <v>510</v>
      </c>
      <c r="M13">
        <v>0</v>
      </c>
      <c r="N13">
        <v>1.028</v>
      </c>
      <c r="O13">
        <v>7.7558999999999996</v>
      </c>
      <c r="P13">
        <v>6.7279999999999998</v>
      </c>
      <c r="Q13">
        <v>0</v>
      </c>
      <c r="R13">
        <v>0</v>
      </c>
      <c r="S13" s="1">
        <f t="shared" si="0"/>
        <v>0.11028000000000031</v>
      </c>
      <c r="T13" s="2">
        <f t="shared" si="1"/>
        <v>11.028000000000031</v>
      </c>
    </row>
    <row r="14" spans="1:24" x14ac:dyDescent="0.2">
      <c r="A14" t="s">
        <v>511</v>
      </c>
      <c r="D14">
        <v>15.33935</v>
      </c>
      <c r="E14">
        <v>6.6516500000000001</v>
      </c>
      <c r="L14" t="s">
        <v>511</v>
      </c>
      <c r="M14">
        <v>0</v>
      </c>
      <c r="N14">
        <v>8.6880000000000006</v>
      </c>
      <c r="O14">
        <v>15.33935</v>
      </c>
      <c r="P14">
        <v>6.6516500000000001</v>
      </c>
      <c r="Q14">
        <v>0</v>
      </c>
      <c r="R14">
        <v>0</v>
      </c>
      <c r="S14" s="1">
        <f t="shared" si="0"/>
        <v>0.19716000000000031</v>
      </c>
      <c r="T14" s="2">
        <f t="shared" si="1"/>
        <v>19.71600000000003</v>
      </c>
    </row>
    <row r="15" spans="1:24" x14ac:dyDescent="0.2">
      <c r="A15" t="s">
        <v>512</v>
      </c>
      <c r="D15">
        <v>22.739650000000001</v>
      </c>
      <c r="E15">
        <v>6.6811999999999996</v>
      </c>
      <c r="L15" t="s">
        <v>512</v>
      </c>
      <c r="M15">
        <v>0</v>
      </c>
      <c r="N15">
        <v>12.163</v>
      </c>
      <c r="O15">
        <v>22.739650000000001</v>
      </c>
      <c r="P15">
        <v>6.6811999999999996</v>
      </c>
      <c r="Q15">
        <v>3.8954499999999999</v>
      </c>
      <c r="R15">
        <v>0</v>
      </c>
      <c r="S15" s="1">
        <f t="shared" si="0"/>
        <v>0.3187900000000003</v>
      </c>
      <c r="T15" s="2">
        <f t="shared" si="1"/>
        <v>31.87900000000003</v>
      </c>
    </row>
    <row r="16" spans="1:24" x14ac:dyDescent="0.2">
      <c r="A16" t="s">
        <v>513</v>
      </c>
      <c r="D16">
        <v>14.202700999999999</v>
      </c>
      <c r="E16">
        <v>6.6840999999999999</v>
      </c>
      <c r="L16" t="s">
        <v>513</v>
      </c>
      <c r="M16">
        <v>0</v>
      </c>
      <c r="N16">
        <v>0</v>
      </c>
      <c r="O16">
        <v>14.202700999999999</v>
      </c>
      <c r="P16">
        <v>6.6840999999999999</v>
      </c>
      <c r="Q16">
        <v>7.5186009999999994</v>
      </c>
      <c r="R16">
        <v>0</v>
      </c>
      <c r="S16" s="1">
        <f t="shared" si="0"/>
        <v>0.3187900000000003</v>
      </c>
      <c r="T16" s="2">
        <f t="shared" si="1"/>
        <v>31.87900000000003</v>
      </c>
    </row>
    <row r="17" spans="1:20" x14ac:dyDescent="0.2">
      <c r="A17" t="s">
        <v>514</v>
      </c>
      <c r="D17">
        <v>38.233947999999998</v>
      </c>
      <c r="E17">
        <v>7.3103337000000002</v>
      </c>
      <c r="L17" t="s">
        <v>514</v>
      </c>
      <c r="M17">
        <v>0</v>
      </c>
      <c r="N17">
        <v>30.923999999999999</v>
      </c>
      <c r="O17">
        <v>38.233947999999998</v>
      </c>
      <c r="P17">
        <v>7.3103337000000002</v>
      </c>
      <c r="Q17">
        <v>0</v>
      </c>
      <c r="R17">
        <v>0</v>
      </c>
      <c r="S17" s="1">
        <f t="shared" si="0"/>
        <v>0.62803000000000031</v>
      </c>
      <c r="T17" s="2">
        <f t="shared" si="1"/>
        <v>62.803000000000026</v>
      </c>
    </row>
    <row r="18" spans="1:20" x14ac:dyDescent="0.2">
      <c r="A18" t="s">
        <v>515</v>
      </c>
      <c r="D18">
        <v>32.886803</v>
      </c>
      <c r="E18">
        <v>8.7299340000000001</v>
      </c>
      <c r="L18" t="s">
        <v>515</v>
      </c>
      <c r="M18">
        <v>0</v>
      </c>
      <c r="N18">
        <v>24.157</v>
      </c>
      <c r="O18">
        <v>32.886803</v>
      </c>
      <c r="P18">
        <v>8.7299340000000001</v>
      </c>
      <c r="Q18">
        <v>0</v>
      </c>
      <c r="R18">
        <v>0</v>
      </c>
      <c r="S18" s="1">
        <f t="shared" si="0"/>
        <v>0.86960000000000026</v>
      </c>
      <c r="T18" s="2">
        <f t="shared" si="1"/>
        <v>86.960000000000022</v>
      </c>
    </row>
    <row r="19" spans="1:20" x14ac:dyDescent="0.2">
      <c r="A19" t="s">
        <v>516</v>
      </c>
      <c r="D19">
        <v>22.267225</v>
      </c>
      <c r="E19">
        <v>9.2265999999999995</v>
      </c>
      <c r="L19" t="s">
        <v>516</v>
      </c>
      <c r="M19">
        <v>0</v>
      </c>
      <c r="N19">
        <v>13.041</v>
      </c>
      <c r="O19">
        <v>22.267225</v>
      </c>
      <c r="P19">
        <v>9.2265999999999995</v>
      </c>
      <c r="Q19">
        <v>0</v>
      </c>
      <c r="R19">
        <v>0</v>
      </c>
      <c r="S19" s="1">
        <f t="shared" si="0"/>
        <v>1.0000100000000003</v>
      </c>
      <c r="T19" s="2">
        <f t="shared" si="1"/>
        <v>100.00100000000002</v>
      </c>
    </row>
    <row r="20" spans="1:20" x14ac:dyDescent="0.2">
      <c r="A20" t="s">
        <v>517</v>
      </c>
      <c r="D20">
        <v>7.3492502999999996</v>
      </c>
      <c r="E20">
        <v>9.2952999999999992</v>
      </c>
      <c r="L20" t="s">
        <v>517</v>
      </c>
      <c r="M20">
        <v>1.946</v>
      </c>
      <c r="N20">
        <v>0</v>
      </c>
      <c r="O20">
        <v>7.3492502999999996</v>
      </c>
      <c r="P20">
        <v>9.2952999999999992</v>
      </c>
      <c r="Q20">
        <v>0</v>
      </c>
      <c r="R20">
        <v>0</v>
      </c>
      <c r="S20" s="1">
        <f t="shared" si="0"/>
        <v>0.98055000000000025</v>
      </c>
      <c r="T20" s="2">
        <f t="shared" si="1"/>
        <v>98.055000000000021</v>
      </c>
    </row>
    <row r="21" spans="1:20" x14ac:dyDescent="0.2">
      <c r="A21" t="s">
        <v>518</v>
      </c>
      <c r="D21">
        <v>0.54436666</v>
      </c>
      <c r="E21">
        <v>10.667075000000001</v>
      </c>
      <c r="L21" t="s">
        <v>518</v>
      </c>
      <c r="M21">
        <v>10.122999999999999</v>
      </c>
      <c r="N21">
        <v>0</v>
      </c>
      <c r="O21">
        <v>0.54436666</v>
      </c>
      <c r="P21">
        <v>10.667075000000001</v>
      </c>
      <c r="Q21">
        <v>0</v>
      </c>
      <c r="R21">
        <v>0</v>
      </c>
      <c r="S21" s="1">
        <f t="shared" si="0"/>
        <v>0.87932000000000021</v>
      </c>
      <c r="T21" s="2">
        <f t="shared" si="1"/>
        <v>87.932000000000016</v>
      </c>
    </row>
    <row r="22" spans="1:20" x14ac:dyDescent="0.2">
      <c r="A22" t="s">
        <v>519</v>
      </c>
      <c r="D22">
        <v>0</v>
      </c>
      <c r="E22">
        <v>8.8773</v>
      </c>
      <c r="L22" t="s">
        <v>519</v>
      </c>
      <c r="M22">
        <v>8.8770000000000007</v>
      </c>
      <c r="N22">
        <v>0</v>
      </c>
      <c r="O22">
        <v>0</v>
      </c>
      <c r="P22">
        <v>8.8773</v>
      </c>
      <c r="Q22">
        <v>0</v>
      </c>
      <c r="R22">
        <v>0</v>
      </c>
      <c r="S22" s="1">
        <f t="shared" si="0"/>
        <v>0.7905500000000002</v>
      </c>
      <c r="T22" s="2">
        <f t="shared" si="1"/>
        <v>79.055000000000021</v>
      </c>
    </row>
    <row r="23" spans="1:20" x14ac:dyDescent="0.2">
      <c r="A23" t="s">
        <v>520</v>
      </c>
      <c r="D23">
        <v>0</v>
      </c>
      <c r="E23">
        <v>7.6258999999999997</v>
      </c>
      <c r="L23" t="s">
        <v>520</v>
      </c>
      <c r="M23">
        <v>7.6260000000000003</v>
      </c>
      <c r="N23">
        <v>0</v>
      </c>
      <c r="O23">
        <v>0</v>
      </c>
      <c r="P23">
        <v>7.6258999999999997</v>
      </c>
      <c r="Q23">
        <v>0</v>
      </c>
      <c r="R23">
        <v>0</v>
      </c>
      <c r="S23" s="1">
        <f t="shared" si="0"/>
        <v>0.7142900000000002</v>
      </c>
      <c r="T23" s="2">
        <f t="shared" si="1"/>
        <v>71.429000000000016</v>
      </c>
    </row>
    <row r="24" spans="1:20" x14ac:dyDescent="0.2">
      <c r="A24" t="s">
        <v>521</v>
      </c>
      <c r="D24">
        <v>0</v>
      </c>
      <c r="E24">
        <v>7.0334500000000002</v>
      </c>
      <c r="L24" t="s">
        <v>521</v>
      </c>
      <c r="M24">
        <v>7.0330000000000004</v>
      </c>
      <c r="N24">
        <v>0</v>
      </c>
      <c r="O24">
        <v>0</v>
      </c>
      <c r="P24">
        <v>7.0334500000000002</v>
      </c>
      <c r="Q24">
        <v>0</v>
      </c>
      <c r="R24">
        <v>0</v>
      </c>
      <c r="S24" s="1">
        <f t="shared" si="0"/>
        <v>0.6439600000000002</v>
      </c>
      <c r="T24" s="2">
        <f t="shared" si="1"/>
        <v>64.396000000000015</v>
      </c>
    </row>
    <row r="25" spans="1:20" x14ac:dyDescent="0.2">
      <c r="A25" t="s">
        <v>522</v>
      </c>
      <c r="D25">
        <v>0</v>
      </c>
      <c r="E25">
        <v>7.1589999999999998</v>
      </c>
      <c r="L25" t="s">
        <v>522</v>
      </c>
      <c r="M25">
        <v>7.1589999999999998</v>
      </c>
      <c r="N25">
        <v>0</v>
      </c>
      <c r="O25">
        <v>0</v>
      </c>
      <c r="P25">
        <v>7.1589999999999998</v>
      </c>
      <c r="Q25">
        <v>0</v>
      </c>
      <c r="R25">
        <v>0</v>
      </c>
      <c r="S25" s="1">
        <f t="shared" si="0"/>
        <v>0.57237000000000016</v>
      </c>
      <c r="T25" s="2">
        <f t="shared" si="1"/>
        <v>57.237000000000016</v>
      </c>
    </row>
    <row r="26" spans="1:20" x14ac:dyDescent="0.2">
      <c r="A26" t="s">
        <v>523</v>
      </c>
      <c r="D26">
        <v>0</v>
      </c>
      <c r="E26">
        <v>7.0785</v>
      </c>
      <c r="L26" t="s">
        <v>523</v>
      </c>
      <c r="M26">
        <v>7.0780000000000003</v>
      </c>
      <c r="N26">
        <v>0</v>
      </c>
      <c r="O26">
        <v>0</v>
      </c>
      <c r="P26">
        <v>7.0785</v>
      </c>
      <c r="Q26">
        <v>0</v>
      </c>
      <c r="R26">
        <v>0</v>
      </c>
      <c r="S26" s="1">
        <f t="shared" si="0"/>
        <v>0.50159000000000009</v>
      </c>
      <c r="T26" s="2">
        <f t="shared" si="1"/>
        <v>50.159000000000013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X26"/>
  <sheetViews>
    <sheetView workbookViewId="0"/>
  </sheetViews>
  <sheetFormatPr baseColWidth="10" defaultColWidth="8.83203125" defaultRowHeight="15" x14ac:dyDescent="0.2"/>
  <sheetData>
    <row r="1" spans="1:24" x14ac:dyDescent="0.2">
      <c r="A1" t="s">
        <v>0</v>
      </c>
      <c r="D1" t="s">
        <v>1</v>
      </c>
      <c r="L1" t="s">
        <v>2</v>
      </c>
      <c r="R1" t="s">
        <v>3</v>
      </c>
      <c r="S1" s="1">
        <v>0.50159000000000031</v>
      </c>
      <c r="T1">
        <f>S1*V1</f>
        <v>50.159000000000034</v>
      </c>
      <c r="U1" t="s">
        <v>4</v>
      </c>
      <c r="V1">
        <v>100</v>
      </c>
      <c r="W1" t="s">
        <v>5</v>
      </c>
      <c r="X1" s="1">
        <v>0.1</v>
      </c>
    </row>
    <row r="2" spans="1:24" x14ac:dyDescent="0.2">
      <c r="A2" t="s">
        <v>6</v>
      </c>
      <c r="B2" t="s">
        <v>7</v>
      </c>
      <c r="C2" t="s">
        <v>8</v>
      </c>
      <c r="D2" t="s">
        <v>9</v>
      </c>
      <c r="E2" t="s">
        <v>10</v>
      </c>
      <c r="F2" t="s">
        <v>11</v>
      </c>
      <c r="G2" t="s">
        <v>12</v>
      </c>
      <c r="H2" t="s">
        <v>13</v>
      </c>
      <c r="I2" t="s">
        <v>14</v>
      </c>
      <c r="L2" t="s">
        <v>6</v>
      </c>
      <c r="M2" t="s">
        <v>7</v>
      </c>
      <c r="N2" t="s">
        <v>8</v>
      </c>
      <c r="O2" t="s">
        <v>9</v>
      </c>
      <c r="P2" t="s">
        <v>10</v>
      </c>
      <c r="Q2" t="s">
        <v>11</v>
      </c>
      <c r="R2" t="s">
        <v>12</v>
      </c>
      <c r="S2" t="s">
        <v>13</v>
      </c>
      <c r="T2" t="s">
        <v>14</v>
      </c>
      <c r="W2" t="s">
        <v>15</v>
      </c>
      <c r="X2" s="1">
        <v>1</v>
      </c>
    </row>
    <row r="3" spans="1:24" x14ac:dyDescent="0.2">
      <c r="A3" t="s">
        <v>524</v>
      </c>
      <c r="D3">
        <v>0</v>
      </c>
      <c r="E3">
        <v>6.9637003000000002</v>
      </c>
      <c r="L3" t="s">
        <v>524</v>
      </c>
      <c r="M3">
        <v>6.9640000000000004</v>
      </c>
      <c r="N3">
        <v>0</v>
      </c>
      <c r="O3">
        <v>0</v>
      </c>
      <c r="P3">
        <v>6.9637003000000002</v>
      </c>
      <c r="Q3">
        <v>0</v>
      </c>
      <c r="R3">
        <v>0</v>
      </c>
      <c r="S3" s="1">
        <f t="shared" ref="S3:S26" si="0">T3/V$1</f>
        <v>0.43195000000000033</v>
      </c>
      <c r="T3" s="2">
        <f>T1-M3+N3</f>
        <v>43.195000000000036</v>
      </c>
    </row>
    <row r="4" spans="1:24" x14ac:dyDescent="0.2">
      <c r="A4" t="s">
        <v>525</v>
      </c>
      <c r="D4">
        <v>0</v>
      </c>
      <c r="E4">
        <v>6.6950669999999999</v>
      </c>
      <c r="L4" t="s">
        <v>525</v>
      </c>
      <c r="M4">
        <v>6.6950000000000003</v>
      </c>
      <c r="N4">
        <v>0</v>
      </c>
      <c r="O4">
        <v>0</v>
      </c>
      <c r="P4">
        <v>6.6950669999999999</v>
      </c>
      <c r="Q4">
        <v>0</v>
      </c>
      <c r="R4">
        <v>0</v>
      </c>
      <c r="S4" s="1">
        <f t="shared" si="0"/>
        <v>0.36500000000000038</v>
      </c>
      <c r="T4" s="2">
        <f t="shared" ref="T4:T26" si="1">T3-M4+N4</f>
        <v>36.500000000000036</v>
      </c>
    </row>
    <row r="5" spans="1:24" x14ac:dyDescent="0.2">
      <c r="A5" t="s">
        <v>526</v>
      </c>
      <c r="D5">
        <v>0</v>
      </c>
      <c r="E5">
        <v>6.1330669999999996</v>
      </c>
      <c r="L5" t="s">
        <v>526</v>
      </c>
      <c r="M5">
        <v>6.133</v>
      </c>
      <c r="N5">
        <v>0</v>
      </c>
      <c r="O5">
        <v>0</v>
      </c>
      <c r="P5">
        <v>6.1330669999999996</v>
      </c>
      <c r="Q5">
        <v>0</v>
      </c>
      <c r="R5">
        <v>0</v>
      </c>
      <c r="S5" s="1">
        <f t="shared" si="0"/>
        <v>0.30367000000000038</v>
      </c>
      <c r="T5" s="2">
        <f t="shared" si="1"/>
        <v>30.367000000000036</v>
      </c>
    </row>
    <row r="6" spans="1:24" x14ac:dyDescent="0.2">
      <c r="A6" t="s">
        <v>527</v>
      </c>
      <c r="D6">
        <v>0</v>
      </c>
      <c r="E6">
        <v>6.9814999999999996</v>
      </c>
      <c r="L6" t="s">
        <v>527</v>
      </c>
      <c r="M6">
        <v>6.9820000000000002</v>
      </c>
      <c r="N6">
        <v>0</v>
      </c>
      <c r="O6">
        <v>0</v>
      </c>
      <c r="P6">
        <v>6.9814999999999996</v>
      </c>
      <c r="Q6">
        <v>0</v>
      </c>
      <c r="R6">
        <v>0</v>
      </c>
      <c r="S6" s="1">
        <f t="shared" si="0"/>
        <v>0.23385000000000036</v>
      </c>
      <c r="T6" s="2">
        <f t="shared" si="1"/>
        <v>23.385000000000037</v>
      </c>
      <c r="V6" t="s">
        <v>20</v>
      </c>
      <c r="W6" t="s">
        <v>528</v>
      </c>
    </row>
    <row r="7" spans="1:24" x14ac:dyDescent="0.2">
      <c r="A7" t="s">
        <v>529</v>
      </c>
      <c r="D7">
        <v>0</v>
      </c>
      <c r="E7">
        <v>6.6751665999999998</v>
      </c>
      <c r="L7" t="s">
        <v>529</v>
      </c>
      <c r="M7">
        <v>6.6749999999999998</v>
      </c>
      <c r="N7">
        <v>0</v>
      </c>
      <c r="O7">
        <v>0</v>
      </c>
      <c r="P7">
        <v>6.6751665999999998</v>
      </c>
      <c r="Q7">
        <v>0</v>
      </c>
      <c r="R7">
        <v>0</v>
      </c>
      <c r="S7" s="1">
        <f t="shared" si="0"/>
        <v>0.16710000000000036</v>
      </c>
      <c r="T7" s="2">
        <f t="shared" si="1"/>
        <v>16.710000000000036</v>
      </c>
      <c r="V7" t="s">
        <v>23</v>
      </c>
      <c r="W7" t="s">
        <v>24</v>
      </c>
    </row>
    <row r="8" spans="1:24" x14ac:dyDescent="0.2">
      <c r="A8" t="s">
        <v>530</v>
      </c>
      <c r="D8">
        <v>0</v>
      </c>
      <c r="E8">
        <v>7.1386776000000003</v>
      </c>
      <c r="L8" t="s">
        <v>530</v>
      </c>
      <c r="M8">
        <v>6.71</v>
      </c>
      <c r="N8">
        <v>0</v>
      </c>
      <c r="O8">
        <v>0</v>
      </c>
      <c r="P8">
        <v>7.1386776000000003</v>
      </c>
      <c r="Q8">
        <v>0</v>
      </c>
      <c r="R8">
        <v>0.42867760000000033</v>
      </c>
      <c r="S8" s="1">
        <f t="shared" si="0"/>
        <v>0.10000000000000035</v>
      </c>
      <c r="T8" s="2">
        <f t="shared" si="1"/>
        <v>10.000000000000036</v>
      </c>
      <c r="V8" t="s">
        <v>26</v>
      </c>
      <c r="W8">
        <v>8.2000000000000003E-2</v>
      </c>
    </row>
    <row r="9" spans="1:24" x14ac:dyDescent="0.2">
      <c r="A9" t="s">
        <v>531</v>
      </c>
      <c r="D9">
        <v>0</v>
      </c>
      <c r="E9">
        <v>6.6524999999999999</v>
      </c>
      <c r="L9" t="s">
        <v>531</v>
      </c>
      <c r="M9">
        <v>0</v>
      </c>
      <c r="N9">
        <v>0</v>
      </c>
      <c r="O9">
        <v>0</v>
      </c>
      <c r="P9">
        <v>6.6524999999999999</v>
      </c>
      <c r="Q9">
        <v>0</v>
      </c>
      <c r="R9">
        <v>6.6524999999999999</v>
      </c>
      <c r="S9" s="1">
        <f t="shared" si="0"/>
        <v>0.10000000000000035</v>
      </c>
      <c r="T9" s="2">
        <f t="shared" si="1"/>
        <v>10.000000000000036</v>
      </c>
      <c r="V9" t="s">
        <v>28</v>
      </c>
      <c r="W9">
        <f>W8/60</f>
        <v>1.3666666666666666E-3</v>
      </c>
    </row>
    <row r="10" spans="1:24" x14ac:dyDescent="0.2">
      <c r="A10" t="s">
        <v>532</v>
      </c>
      <c r="D10">
        <v>1.8862749000000001</v>
      </c>
      <c r="E10">
        <v>6.61585</v>
      </c>
      <c r="L10" t="s">
        <v>532</v>
      </c>
      <c r="M10">
        <v>0</v>
      </c>
      <c r="N10">
        <v>0</v>
      </c>
      <c r="O10">
        <v>1.8862749000000001</v>
      </c>
      <c r="P10">
        <v>6.61585</v>
      </c>
      <c r="Q10">
        <v>0</v>
      </c>
      <c r="R10">
        <v>4.7295750999999999</v>
      </c>
      <c r="S10" s="1">
        <f t="shared" si="0"/>
        <v>0.10000000000000035</v>
      </c>
      <c r="T10" s="2">
        <f t="shared" si="1"/>
        <v>10.000000000000036</v>
      </c>
    </row>
    <row r="11" spans="1:24" x14ac:dyDescent="0.2">
      <c r="A11" t="s">
        <v>533</v>
      </c>
      <c r="D11">
        <v>12.9431505</v>
      </c>
      <c r="E11">
        <v>7.0812597000000004</v>
      </c>
      <c r="L11" t="s">
        <v>533</v>
      </c>
      <c r="M11">
        <v>0</v>
      </c>
      <c r="N11">
        <v>5.8620000000000001</v>
      </c>
      <c r="O11">
        <v>12.9431505</v>
      </c>
      <c r="P11">
        <v>7.0812597000000004</v>
      </c>
      <c r="Q11">
        <v>0</v>
      </c>
      <c r="R11">
        <v>0</v>
      </c>
      <c r="S11" s="1">
        <f t="shared" si="0"/>
        <v>0.15862000000000034</v>
      </c>
      <c r="T11" s="2">
        <f t="shared" si="1"/>
        <v>15.862000000000036</v>
      </c>
    </row>
    <row r="12" spans="1:24" x14ac:dyDescent="0.2">
      <c r="A12" t="s">
        <v>534</v>
      </c>
      <c r="D12">
        <v>26.565275</v>
      </c>
      <c r="E12">
        <v>7.1712999999999996</v>
      </c>
      <c r="L12" t="s">
        <v>534</v>
      </c>
      <c r="M12">
        <v>0</v>
      </c>
      <c r="N12">
        <v>19.393999999999998</v>
      </c>
      <c r="O12">
        <v>26.565275</v>
      </c>
      <c r="P12">
        <v>7.1712999999999996</v>
      </c>
      <c r="Q12">
        <v>0</v>
      </c>
      <c r="R12">
        <v>0</v>
      </c>
      <c r="S12" s="1">
        <f t="shared" si="0"/>
        <v>0.35256000000000037</v>
      </c>
      <c r="T12" s="2">
        <f t="shared" si="1"/>
        <v>35.256000000000036</v>
      </c>
    </row>
    <row r="13" spans="1:24" x14ac:dyDescent="0.2">
      <c r="A13" t="s">
        <v>535</v>
      </c>
      <c r="D13">
        <v>35.651978</v>
      </c>
      <c r="E13">
        <v>6.5970000000000004</v>
      </c>
      <c r="L13" t="s">
        <v>535</v>
      </c>
      <c r="M13">
        <v>0</v>
      </c>
      <c r="N13">
        <v>29.055</v>
      </c>
      <c r="O13">
        <v>35.651978</v>
      </c>
      <c r="P13">
        <v>6.5970000000000004</v>
      </c>
      <c r="Q13">
        <v>0</v>
      </c>
      <c r="R13">
        <v>0</v>
      </c>
      <c r="S13" s="1">
        <f t="shared" si="0"/>
        <v>0.6431100000000004</v>
      </c>
      <c r="T13" s="2">
        <f t="shared" si="1"/>
        <v>64.311000000000035</v>
      </c>
    </row>
    <row r="14" spans="1:24" x14ac:dyDescent="0.2">
      <c r="A14" t="s">
        <v>536</v>
      </c>
      <c r="D14">
        <v>40.792650000000002</v>
      </c>
      <c r="E14">
        <v>6.5807003999999996</v>
      </c>
      <c r="L14" t="s">
        <v>536</v>
      </c>
      <c r="M14">
        <v>0</v>
      </c>
      <c r="N14">
        <v>1.296</v>
      </c>
      <c r="O14">
        <v>40.792650000000002</v>
      </c>
      <c r="P14">
        <v>6.5807003999999996</v>
      </c>
      <c r="Q14">
        <v>32.915949599999998</v>
      </c>
      <c r="R14">
        <v>0</v>
      </c>
      <c r="S14" s="1">
        <f t="shared" si="0"/>
        <v>0.65607000000000038</v>
      </c>
      <c r="T14" s="2">
        <f t="shared" si="1"/>
        <v>65.607000000000042</v>
      </c>
    </row>
    <row r="15" spans="1:24" x14ac:dyDescent="0.2">
      <c r="A15" t="s">
        <v>537</v>
      </c>
      <c r="D15">
        <v>41.984932000000001</v>
      </c>
      <c r="E15">
        <v>6.6106663000000001</v>
      </c>
      <c r="L15" t="s">
        <v>537</v>
      </c>
      <c r="M15">
        <v>0</v>
      </c>
      <c r="N15">
        <v>0</v>
      </c>
      <c r="O15">
        <v>41.984932000000001</v>
      </c>
      <c r="P15">
        <v>6.6106663000000001</v>
      </c>
      <c r="Q15">
        <v>35.374265700000002</v>
      </c>
      <c r="R15">
        <v>0</v>
      </c>
      <c r="S15" s="1">
        <f t="shared" si="0"/>
        <v>0.65607000000000038</v>
      </c>
      <c r="T15" s="2">
        <f t="shared" si="1"/>
        <v>65.607000000000042</v>
      </c>
    </row>
    <row r="16" spans="1:24" x14ac:dyDescent="0.2">
      <c r="A16" t="s">
        <v>538</v>
      </c>
      <c r="D16">
        <v>41.020850000000003</v>
      </c>
      <c r="E16">
        <v>6.6274499999999996</v>
      </c>
      <c r="L16" t="s">
        <v>538</v>
      </c>
      <c r="M16">
        <v>0</v>
      </c>
      <c r="N16">
        <v>34.393000000000001</v>
      </c>
      <c r="O16">
        <v>41.020850000000003</v>
      </c>
      <c r="P16">
        <v>6.6274499999999996</v>
      </c>
      <c r="Q16">
        <v>0</v>
      </c>
      <c r="R16">
        <v>0</v>
      </c>
      <c r="S16" s="1">
        <f t="shared" si="0"/>
        <v>1.0000000000000004</v>
      </c>
      <c r="T16" s="2">
        <f t="shared" si="1"/>
        <v>100.00000000000004</v>
      </c>
    </row>
    <row r="17" spans="1:20" x14ac:dyDescent="0.2">
      <c r="A17" t="s">
        <v>539</v>
      </c>
      <c r="D17">
        <v>30.680475000000001</v>
      </c>
      <c r="E17">
        <v>6.81</v>
      </c>
      <c r="L17" t="s">
        <v>539</v>
      </c>
      <c r="M17">
        <v>0</v>
      </c>
      <c r="N17">
        <v>0</v>
      </c>
      <c r="O17">
        <v>30.680475000000001</v>
      </c>
      <c r="P17">
        <v>6.81</v>
      </c>
      <c r="Q17">
        <v>23.870474999999999</v>
      </c>
      <c r="R17">
        <v>0</v>
      </c>
      <c r="S17" s="1">
        <f t="shared" si="0"/>
        <v>1.0000000000000004</v>
      </c>
      <c r="T17" s="2">
        <f t="shared" si="1"/>
        <v>100.00000000000004</v>
      </c>
    </row>
    <row r="18" spans="1:20" x14ac:dyDescent="0.2">
      <c r="A18" t="s">
        <v>540</v>
      </c>
      <c r="D18">
        <v>19.65325</v>
      </c>
      <c r="E18">
        <v>6.9649999999999999</v>
      </c>
      <c r="L18" t="s">
        <v>540</v>
      </c>
      <c r="M18">
        <v>0</v>
      </c>
      <c r="N18">
        <v>0</v>
      </c>
      <c r="O18">
        <v>19.65325</v>
      </c>
      <c r="P18">
        <v>6.9649999999999999</v>
      </c>
      <c r="Q18">
        <v>12.68825</v>
      </c>
      <c r="R18">
        <v>0</v>
      </c>
      <c r="S18" s="1">
        <f t="shared" si="0"/>
        <v>1.0000000000000004</v>
      </c>
      <c r="T18" s="2">
        <f t="shared" si="1"/>
        <v>100.00000000000004</v>
      </c>
    </row>
    <row r="19" spans="1:20" x14ac:dyDescent="0.2">
      <c r="A19" t="s">
        <v>541</v>
      </c>
      <c r="D19">
        <v>11.626326000000001</v>
      </c>
      <c r="E19">
        <v>7.0128503000000002</v>
      </c>
      <c r="L19" t="s">
        <v>541</v>
      </c>
      <c r="M19">
        <v>0</v>
      </c>
      <c r="N19">
        <v>0</v>
      </c>
      <c r="O19">
        <v>11.626326000000001</v>
      </c>
      <c r="P19">
        <v>7.0128503000000002</v>
      </c>
      <c r="Q19">
        <v>4.6134757000000004</v>
      </c>
      <c r="R19">
        <v>0</v>
      </c>
      <c r="S19" s="1">
        <f t="shared" si="0"/>
        <v>1.0000000000000004</v>
      </c>
      <c r="T19" s="2">
        <f t="shared" si="1"/>
        <v>100.00000000000004</v>
      </c>
    </row>
    <row r="20" spans="1:20" x14ac:dyDescent="0.2">
      <c r="A20" t="s">
        <v>542</v>
      </c>
      <c r="D20">
        <v>4.2193002999999996</v>
      </c>
      <c r="E20">
        <v>8.3035499999999995</v>
      </c>
      <c r="L20" t="s">
        <v>542</v>
      </c>
      <c r="M20">
        <v>4.0839999999999996</v>
      </c>
      <c r="N20">
        <v>0</v>
      </c>
      <c r="O20">
        <v>4.2193002999999996</v>
      </c>
      <c r="P20">
        <v>8.3035499999999995</v>
      </c>
      <c r="Q20">
        <v>0</v>
      </c>
      <c r="R20">
        <v>0</v>
      </c>
      <c r="S20" s="1">
        <f t="shared" si="0"/>
        <v>0.95916000000000035</v>
      </c>
      <c r="T20" s="2">
        <f t="shared" si="1"/>
        <v>95.916000000000039</v>
      </c>
    </row>
    <row r="21" spans="1:20" x14ac:dyDescent="0.2">
      <c r="A21" t="s">
        <v>543</v>
      </c>
      <c r="D21">
        <v>1.2603002999999999</v>
      </c>
      <c r="E21">
        <v>8.4781999999999993</v>
      </c>
      <c r="L21" t="s">
        <v>543</v>
      </c>
      <c r="M21">
        <v>7.218</v>
      </c>
      <c r="N21">
        <v>0</v>
      </c>
      <c r="O21">
        <v>1.2603002999999999</v>
      </c>
      <c r="P21">
        <v>8.4781999999999993</v>
      </c>
      <c r="Q21">
        <v>0</v>
      </c>
      <c r="R21">
        <v>0</v>
      </c>
      <c r="S21" s="1">
        <f t="shared" si="0"/>
        <v>0.88698000000000032</v>
      </c>
      <c r="T21" s="2">
        <f t="shared" si="1"/>
        <v>88.698000000000036</v>
      </c>
    </row>
    <row r="22" spans="1:20" x14ac:dyDescent="0.2">
      <c r="A22" t="s">
        <v>544</v>
      </c>
      <c r="D22">
        <v>0</v>
      </c>
      <c r="E22">
        <v>4.8815999999999997</v>
      </c>
      <c r="L22" t="s">
        <v>544</v>
      </c>
      <c r="M22">
        <v>4.8819999999999997</v>
      </c>
      <c r="N22">
        <v>0</v>
      </c>
      <c r="O22">
        <v>0</v>
      </c>
      <c r="P22">
        <v>4.8815999999999997</v>
      </c>
      <c r="Q22">
        <v>0</v>
      </c>
      <c r="R22">
        <v>0</v>
      </c>
      <c r="S22" s="1">
        <f t="shared" si="0"/>
        <v>0.83816000000000035</v>
      </c>
      <c r="T22" s="2">
        <f t="shared" si="1"/>
        <v>83.816000000000031</v>
      </c>
    </row>
    <row r="23" spans="1:20" x14ac:dyDescent="0.2">
      <c r="A23" t="s">
        <v>545</v>
      </c>
      <c r="D23">
        <v>0</v>
      </c>
      <c r="E23">
        <v>7.2145000000000001</v>
      </c>
      <c r="L23" t="s">
        <v>545</v>
      </c>
      <c r="M23">
        <v>7.2140000000000004</v>
      </c>
      <c r="N23">
        <v>0</v>
      </c>
      <c r="O23">
        <v>0</v>
      </c>
      <c r="P23">
        <v>7.2145000000000001</v>
      </c>
      <c r="Q23">
        <v>0</v>
      </c>
      <c r="R23">
        <v>0</v>
      </c>
      <c r="S23" s="1">
        <f t="shared" si="0"/>
        <v>0.76602000000000037</v>
      </c>
      <c r="T23" s="2">
        <f t="shared" si="1"/>
        <v>76.602000000000032</v>
      </c>
    </row>
    <row r="24" spans="1:20" x14ac:dyDescent="0.2">
      <c r="A24" t="s">
        <v>546</v>
      </c>
      <c r="D24">
        <v>0</v>
      </c>
      <c r="E24">
        <v>7.6638999999999999</v>
      </c>
      <c r="L24" t="s">
        <v>546</v>
      </c>
      <c r="M24">
        <v>7.6639999999999997</v>
      </c>
      <c r="N24">
        <v>0</v>
      </c>
      <c r="O24">
        <v>0</v>
      </c>
      <c r="P24">
        <v>7.6638999999999999</v>
      </c>
      <c r="Q24">
        <v>0</v>
      </c>
      <c r="R24">
        <v>0</v>
      </c>
      <c r="S24" s="1">
        <f t="shared" si="0"/>
        <v>0.68938000000000033</v>
      </c>
      <c r="T24" s="2">
        <f t="shared" si="1"/>
        <v>68.938000000000031</v>
      </c>
    </row>
    <row r="25" spans="1:20" x14ac:dyDescent="0.2">
      <c r="A25" t="s">
        <v>547</v>
      </c>
      <c r="D25">
        <v>0</v>
      </c>
      <c r="E25">
        <v>6.8910999999999998</v>
      </c>
      <c r="L25" t="s">
        <v>547</v>
      </c>
      <c r="M25">
        <v>6.891</v>
      </c>
      <c r="N25">
        <v>0</v>
      </c>
      <c r="O25">
        <v>0</v>
      </c>
      <c r="P25">
        <v>6.8910999999999998</v>
      </c>
      <c r="Q25">
        <v>0</v>
      </c>
      <c r="R25">
        <v>0</v>
      </c>
      <c r="S25" s="1">
        <f t="shared" si="0"/>
        <v>0.6204700000000003</v>
      </c>
      <c r="T25" s="2">
        <f t="shared" si="1"/>
        <v>62.047000000000033</v>
      </c>
    </row>
    <row r="26" spans="1:20" x14ac:dyDescent="0.2">
      <c r="A26" t="s">
        <v>548</v>
      </c>
      <c r="D26">
        <v>0</v>
      </c>
      <c r="E26">
        <v>6.9330999999999996</v>
      </c>
      <c r="L26" t="s">
        <v>548</v>
      </c>
      <c r="M26">
        <v>6.9329999999999998</v>
      </c>
      <c r="N26">
        <v>0</v>
      </c>
      <c r="O26">
        <v>0</v>
      </c>
      <c r="P26">
        <v>6.9330999999999996</v>
      </c>
      <c r="Q26">
        <v>0</v>
      </c>
      <c r="R26">
        <v>0</v>
      </c>
      <c r="S26" s="1">
        <f t="shared" si="0"/>
        <v>0.5511400000000003</v>
      </c>
      <c r="T26" s="2">
        <f t="shared" si="1"/>
        <v>55.114000000000033</v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X26"/>
  <sheetViews>
    <sheetView workbookViewId="0"/>
  </sheetViews>
  <sheetFormatPr baseColWidth="10" defaultColWidth="8.83203125" defaultRowHeight="15" x14ac:dyDescent="0.2"/>
  <sheetData>
    <row r="1" spans="1:24" x14ac:dyDescent="0.2">
      <c r="A1" t="s">
        <v>0</v>
      </c>
      <c r="D1" t="s">
        <v>1</v>
      </c>
      <c r="L1" t="s">
        <v>2</v>
      </c>
      <c r="R1" t="s">
        <v>3</v>
      </c>
      <c r="S1" s="1">
        <v>0.55114000000000063</v>
      </c>
      <c r="T1">
        <f>S1*V1</f>
        <v>55.114000000000061</v>
      </c>
      <c r="U1" t="s">
        <v>4</v>
      </c>
      <c r="V1">
        <v>100</v>
      </c>
      <c r="W1" t="s">
        <v>5</v>
      </c>
      <c r="X1" s="1">
        <v>0.1</v>
      </c>
    </row>
    <row r="2" spans="1:24" x14ac:dyDescent="0.2">
      <c r="A2" t="s">
        <v>6</v>
      </c>
      <c r="B2" t="s">
        <v>7</v>
      </c>
      <c r="C2" t="s">
        <v>8</v>
      </c>
      <c r="D2" t="s">
        <v>9</v>
      </c>
      <c r="E2" t="s">
        <v>10</v>
      </c>
      <c r="F2" t="s">
        <v>11</v>
      </c>
      <c r="G2" t="s">
        <v>12</v>
      </c>
      <c r="H2" t="s">
        <v>13</v>
      </c>
      <c r="I2" t="s">
        <v>14</v>
      </c>
      <c r="L2" t="s">
        <v>6</v>
      </c>
      <c r="M2" t="s">
        <v>7</v>
      </c>
      <c r="N2" t="s">
        <v>8</v>
      </c>
      <c r="O2" t="s">
        <v>9</v>
      </c>
      <c r="P2" t="s">
        <v>10</v>
      </c>
      <c r="Q2" t="s">
        <v>11</v>
      </c>
      <c r="R2" t="s">
        <v>12</v>
      </c>
      <c r="S2" t="s">
        <v>13</v>
      </c>
      <c r="T2" t="s">
        <v>14</v>
      </c>
      <c r="W2" t="s">
        <v>15</v>
      </c>
      <c r="X2" s="1">
        <v>1</v>
      </c>
    </row>
    <row r="3" spans="1:24" x14ac:dyDescent="0.2">
      <c r="A3" t="s">
        <v>549</v>
      </c>
      <c r="D3">
        <v>0</v>
      </c>
      <c r="E3">
        <v>6.5877004000000001</v>
      </c>
      <c r="L3" t="s">
        <v>549</v>
      </c>
      <c r="M3">
        <v>6.5880000000000001</v>
      </c>
      <c r="N3">
        <v>0</v>
      </c>
      <c r="O3">
        <v>0</v>
      </c>
      <c r="P3">
        <v>6.5877004000000001</v>
      </c>
      <c r="Q3">
        <v>0</v>
      </c>
      <c r="R3">
        <v>0</v>
      </c>
      <c r="S3" s="1">
        <f t="shared" ref="S3:S26" si="0">T3/V$1</f>
        <v>0.48526000000000058</v>
      </c>
      <c r="T3" s="2">
        <f>T1-M3+N3</f>
        <v>48.52600000000006</v>
      </c>
    </row>
    <row r="4" spans="1:24" x14ac:dyDescent="0.2">
      <c r="A4" t="s">
        <v>550</v>
      </c>
      <c r="D4">
        <v>0</v>
      </c>
      <c r="E4">
        <v>6.93255</v>
      </c>
      <c r="L4" t="s">
        <v>550</v>
      </c>
      <c r="M4">
        <v>6.9329999999999998</v>
      </c>
      <c r="N4">
        <v>0</v>
      </c>
      <c r="O4">
        <v>0</v>
      </c>
      <c r="P4">
        <v>6.93255</v>
      </c>
      <c r="Q4">
        <v>0</v>
      </c>
      <c r="R4">
        <v>0</v>
      </c>
      <c r="S4" s="1">
        <f t="shared" si="0"/>
        <v>0.41593000000000058</v>
      </c>
      <c r="T4" s="2">
        <f t="shared" ref="T4:T26" si="1">T3-M4+N4</f>
        <v>41.59300000000006</v>
      </c>
    </row>
    <row r="5" spans="1:24" x14ac:dyDescent="0.2">
      <c r="A5" t="s">
        <v>551</v>
      </c>
      <c r="D5">
        <v>0</v>
      </c>
      <c r="E5">
        <v>6.9694000000000003</v>
      </c>
      <c r="L5" t="s">
        <v>551</v>
      </c>
      <c r="M5">
        <v>6.9690000000000003</v>
      </c>
      <c r="N5">
        <v>0</v>
      </c>
      <c r="O5">
        <v>0</v>
      </c>
      <c r="P5">
        <v>6.9694000000000003</v>
      </c>
      <c r="Q5">
        <v>0</v>
      </c>
      <c r="R5">
        <v>0</v>
      </c>
      <c r="S5" s="1">
        <f t="shared" si="0"/>
        <v>0.3462400000000006</v>
      </c>
      <c r="T5" s="2">
        <f t="shared" si="1"/>
        <v>34.624000000000059</v>
      </c>
    </row>
    <row r="6" spans="1:24" x14ac:dyDescent="0.2">
      <c r="A6" t="s">
        <v>552</v>
      </c>
      <c r="D6">
        <v>0</v>
      </c>
      <c r="E6">
        <v>5.6204499999999999</v>
      </c>
      <c r="L6" t="s">
        <v>552</v>
      </c>
      <c r="M6">
        <v>5.62</v>
      </c>
      <c r="N6">
        <v>0</v>
      </c>
      <c r="O6">
        <v>0</v>
      </c>
      <c r="P6">
        <v>5.6204499999999999</v>
      </c>
      <c r="Q6">
        <v>0</v>
      </c>
      <c r="R6">
        <v>0</v>
      </c>
      <c r="S6" s="1">
        <f t="shared" si="0"/>
        <v>0.29004000000000058</v>
      </c>
      <c r="T6" s="2">
        <f t="shared" si="1"/>
        <v>29.004000000000058</v>
      </c>
      <c r="V6" t="s">
        <v>20</v>
      </c>
      <c r="W6" t="s">
        <v>553</v>
      </c>
    </row>
    <row r="7" spans="1:24" x14ac:dyDescent="0.2">
      <c r="A7" t="s">
        <v>554</v>
      </c>
      <c r="D7">
        <v>0</v>
      </c>
      <c r="E7">
        <v>6.9029999999999996</v>
      </c>
      <c r="L7" t="s">
        <v>554</v>
      </c>
      <c r="M7">
        <v>6.9029999999999996</v>
      </c>
      <c r="N7">
        <v>0</v>
      </c>
      <c r="O7">
        <v>0</v>
      </c>
      <c r="P7">
        <v>6.9029999999999996</v>
      </c>
      <c r="Q7">
        <v>0</v>
      </c>
      <c r="R7">
        <v>0</v>
      </c>
      <c r="S7" s="1">
        <f t="shared" si="0"/>
        <v>0.22101000000000059</v>
      </c>
      <c r="T7" s="2">
        <f t="shared" si="1"/>
        <v>22.101000000000059</v>
      </c>
      <c r="V7" t="s">
        <v>23</v>
      </c>
      <c r="W7" t="s">
        <v>127</v>
      </c>
    </row>
    <row r="8" spans="1:24" x14ac:dyDescent="0.2">
      <c r="A8" t="s">
        <v>555</v>
      </c>
      <c r="D8">
        <v>0</v>
      </c>
      <c r="E8">
        <v>6.9329000000000001</v>
      </c>
      <c r="L8" t="s">
        <v>555</v>
      </c>
      <c r="M8">
        <v>6.9329999999999998</v>
      </c>
      <c r="N8">
        <v>0</v>
      </c>
      <c r="O8">
        <v>0</v>
      </c>
      <c r="P8">
        <v>6.9329000000000001</v>
      </c>
      <c r="Q8">
        <v>0</v>
      </c>
      <c r="R8">
        <v>0</v>
      </c>
      <c r="S8" s="1">
        <f t="shared" si="0"/>
        <v>0.15168000000000059</v>
      </c>
      <c r="T8" s="2">
        <f t="shared" si="1"/>
        <v>15.16800000000006</v>
      </c>
      <c r="V8" t="s">
        <v>26</v>
      </c>
      <c r="W8">
        <v>8.3000000000000004E-2</v>
      </c>
    </row>
    <row r="9" spans="1:24" x14ac:dyDescent="0.2">
      <c r="A9" t="s">
        <v>556</v>
      </c>
      <c r="D9">
        <v>0</v>
      </c>
      <c r="E9">
        <v>6.8644999999999996</v>
      </c>
      <c r="L9" t="s">
        <v>556</v>
      </c>
      <c r="M9">
        <v>5.1680000000000001</v>
      </c>
      <c r="N9">
        <v>0</v>
      </c>
      <c r="O9">
        <v>0</v>
      </c>
      <c r="P9">
        <v>6.8644999999999996</v>
      </c>
      <c r="Q9">
        <v>0</v>
      </c>
      <c r="R9">
        <v>1.696499999999999</v>
      </c>
      <c r="S9" s="1">
        <f t="shared" si="0"/>
        <v>0.1000000000000006</v>
      </c>
      <c r="T9" s="2">
        <f t="shared" si="1"/>
        <v>10.00000000000006</v>
      </c>
      <c r="V9" t="s">
        <v>28</v>
      </c>
      <c r="W9">
        <f>W8/60</f>
        <v>1.3833333333333334E-3</v>
      </c>
    </row>
    <row r="10" spans="1:24" x14ac:dyDescent="0.2">
      <c r="A10" t="s">
        <v>557</v>
      </c>
      <c r="D10">
        <v>0.25794869999999998</v>
      </c>
      <c r="E10">
        <v>5.2873999999999999</v>
      </c>
      <c r="L10" t="s">
        <v>557</v>
      </c>
      <c r="M10">
        <v>0</v>
      </c>
      <c r="N10">
        <v>0</v>
      </c>
      <c r="O10">
        <v>0.25794869999999998</v>
      </c>
      <c r="P10">
        <v>5.2873999999999999</v>
      </c>
      <c r="Q10">
        <v>0</v>
      </c>
      <c r="R10">
        <v>5.0294512999999998</v>
      </c>
      <c r="S10" s="1">
        <f t="shared" si="0"/>
        <v>0.1000000000000006</v>
      </c>
      <c r="T10" s="2">
        <f t="shared" si="1"/>
        <v>10.00000000000006</v>
      </c>
    </row>
    <row r="11" spans="1:24" x14ac:dyDescent="0.2">
      <c r="A11" t="s">
        <v>558</v>
      </c>
      <c r="D11">
        <v>7.9114750000000003</v>
      </c>
      <c r="E11">
        <v>6.9847999999999999</v>
      </c>
      <c r="L11" t="s">
        <v>558</v>
      </c>
      <c r="M11">
        <v>0</v>
      </c>
      <c r="N11">
        <v>0.92700000000000005</v>
      </c>
      <c r="O11">
        <v>7.9114750000000003</v>
      </c>
      <c r="P11">
        <v>6.9847999999999999</v>
      </c>
      <c r="Q11">
        <v>0</v>
      </c>
      <c r="R11">
        <v>0</v>
      </c>
      <c r="S11" s="1">
        <f t="shared" si="0"/>
        <v>0.1092700000000006</v>
      </c>
      <c r="T11" s="2">
        <f t="shared" si="1"/>
        <v>10.92700000000006</v>
      </c>
    </row>
    <row r="12" spans="1:24" x14ac:dyDescent="0.2">
      <c r="A12" t="s">
        <v>559</v>
      </c>
      <c r="D12">
        <v>25.792974000000001</v>
      </c>
      <c r="E12">
        <v>6.4992003</v>
      </c>
      <c r="L12" t="s">
        <v>559</v>
      </c>
      <c r="M12">
        <v>0</v>
      </c>
      <c r="N12">
        <v>19.294</v>
      </c>
      <c r="O12">
        <v>25.792974000000001</v>
      </c>
      <c r="P12">
        <v>6.4992003</v>
      </c>
      <c r="Q12">
        <v>0</v>
      </c>
      <c r="R12">
        <v>0</v>
      </c>
      <c r="S12" s="1">
        <f t="shared" si="0"/>
        <v>0.30221000000000059</v>
      </c>
      <c r="T12" s="2">
        <f t="shared" si="1"/>
        <v>30.22100000000006</v>
      </c>
    </row>
    <row r="13" spans="1:24" x14ac:dyDescent="0.2">
      <c r="A13" t="s">
        <v>560</v>
      </c>
      <c r="D13">
        <v>35.289375</v>
      </c>
      <c r="E13">
        <v>6.8522334000000003</v>
      </c>
      <c r="L13" t="s">
        <v>560</v>
      </c>
      <c r="M13">
        <v>0</v>
      </c>
      <c r="N13">
        <v>16.184000000000001</v>
      </c>
      <c r="O13">
        <v>35.289375</v>
      </c>
      <c r="P13">
        <v>6.8522334000000003</v>
      </c>
      <c r="Q13">
        <v>12.253141599999999</v>
      </c>
      <c r="R13">
        <v>0</v>
      </c>
      <c r="S13" s="1">
        <f t="shared" si="0"/>
        <v>0.46405000000000057</v>
      </c>
      <c r="T13" s="2">
        <f t="shared" si="1"/>
        <v>46.405000000000058</v>
      </c>
    </row>
    <row r="14" spans="1:24" x14ac:dyDescent="0.2">
      <c r="A14" t="s">
        <v>561</v>
      </c>
      <c r="D14">
        <v>39.642825999999999</v>
      </c>
      <c r="E14">
        <v>6.3163</v>
      </c>
      <c r="L14" t="s">
        <v>561</v>
      </c>
      <c r="M14">
        <v>0</v>
      </c>
      <c r="N14">
        <v>0</v>
      </c>
      <c r="O14">
        <v>39.642825999999999</v>
      </c>
      <c r="P14">
        <v>6.3163</v>
      </c>
      <c r="Q14">
        <v>33.326526000000001</v>
      </c>
      <c r="R14">
        <v>0</v>
      </c>
      <c r="S14" s="1">
        <f t="shared" si="0"/>
        <v>0.46405000000000057</v>
      </c>
      <c r="T14" s="2">
        <f t="shared" si="1"/>
        <v>46.405000000000058</v>
      </c>
    </row>
    <row r="15" spans="1:24" x14ac:dyDescent="0.2">
      <c r="A15" t="s">
        <v>562</v>
      </c>
      <c r="D15">
        <v>41.320521999999997</v>
      </c>
      <c r="E15">
        <v>5.9776999999999996</v>
      </c>
      <c r="L15" t="s">
        <v>562</v>
      </c>
      <c r="M15">
        <v>0</v>
      </c>
      <c r="N15">
        <v>0</v>
      </c>
      <c r="O15">
        <v>41.320521999999997</v>
      </c>
      <c r="P15">
        <v>5.9776999999999996</v>
      </c>
      <c r="Q15">
        <v>35.342821999999998</v>
      </c>
      <c r="R15">
        <v>0</v>
      </c>
      <c r="S15" s="1">
        <f t="shared" si="0"/>
        <v>0.46405000000000057</v>
      </c>
      <c r="T15" s="2">
        <f t="shared" si="1"/>
        <v>46.405000000000058</v>
      </c>
    </row>
    <row r="16" spans="1:24" x14ac:dyDescent="0.2">
      <c r="A16" t="s">
        <v>563</v>
      </c>
      <c r="D16">
        <v>41.790478</v>
      </c>
      <c r="E16">
        <v>6.8284000000000002</v>
      </c>
      <c r="L16" t="s">
        <v>563</v>
      </c>
      <c r="M16">
        <v>0</v>
      </c>
      <c r="N16">
        <v>0</v>
      </c>
      <c r="O16">
        <v>41.790478</v>
      </c>
      <c r="P16">
        <v>6.8284000000000002</v>
      </c>
      <c r="Q16">
        <v>34.962077999999998</v>
      </c>
      <c r="R16">
        <v>0</v>
      </c>
      <c r="S16" s="1">
        <f t="shared" si="0"/>
        <v>0.46405000000000057</v>
      </c>
      <c r="T16" s="2">
        <f t="shared" si="1"/>
        <v>46.405000000000058</v>
      </c>
    </row>
    <row r="17" spans="1:20" x14ac:dyDescent="0.2">
      <c r="A17" t="s">
        <v>564</v>
      </c>
      <c r="D17">
        <v>38.564673999999997</v>
      </c>
      <c r="E17">
        <v>5.9014499999999996</v>
      </c>
      <c r="L17" t="s">
        <v>564</v>
      </c>
      <c r="M17">
        <v>0</v>
      </c>
      <c r="N17">
        <v>32.662999999999997</v>
      </c>
      <c r="O17">
        <v>38.564673999999997</v>
      </c>
      <c r="P17">
        <v>5.9014499999999996</v>
      </c>
      <c r="Q17">
        <v>0</v>
      </c>
      <c r="R17">
        <v>0</v>
      </c>
      <c r="S17" s="1">
        <f t="shared" si="0"/>
        <v>0.79068000000000049</v>
      </c>
      <c r="T17" s="2">
        <f t="shared" si="1"/>
        <v>79.068000000000055</v>
      </c>
    </row>
    <row r="18" spans="1:20" x14ac:dyDescent="0.2">
      <c r="A18" t="s">
        <v>565</v>
      </c>
      <c r="D18">
        <v>26.898350000000001</v>
      </c>
      <c r="E18">
        <v>5.9663997000000002</v>
      </c>
      <c r="L18" t="s">
        <v>565</v>
      </c>
      <c r="M18">
        <v>0</v>
      </c>
      <c r="N18">
        <v>20.931999999999999</v>
      </c>
      <c r="O18">
        <v>26.898350000000001</v>
      </c>
      <c r="P18">
        <v>5.9663997000000002</v>
      </c>
      <c r="Q18">
        <v>0</v>
      </c>
      <c r="R18">
        <v>0</v>
      </c>
      <c r="S18" s="1">
        <f t="shared" si="0"/>
        <v>1.0000000000000007</v>
      </c>
      <c r="T18" s="2">
        <f t="shared" si="1"/>
        <v>100.00000000000006</v>
      </c>
    </row>
    <row r="19" spans="1:20" x14ac:dyDescent="0.2">
      <c r="A19" t="s">
        <v>566</v>
      </c>
      <c r="D19">
        <v>18.174776000000001</v>
      </c>
      <c r="E19">
        <v>6.6731999999999996</v>
      </c>
      <c r="L19" t="s">
        <v>566</v>
      </c>
      <c r="M19">
        <v>0</v>
      </c>
      <c r="N19">
        <v>0</v>
      </c>
      <c r="O19">
        <v>18.174776000000001</v>
      </c>
      <c r="P19">
        <v>6.6731999999999996</v>
      </c>
      <c r="Q19">
        <v>11.501576</v>
      </c>
      <c r="R19">
        <v>0</v>
      </c>
      <c r="S19" s="1">
        <f t="shared" si="0"/>
        <v>1.0000000000000007</v>
      </c>
      <c r="T19" s="2">
        <f t="shared" si="1"/>
        <v>100.00000000000006</v>
      </c>
    </row>
    <row r="20" spans="1:20" x14ac:dyDescent="0.2">
      <c r="A20" t="s">
        <v>567</v>
      </c>
      <c r="D20">
        <v>3.0986753</v>
      </c>
      <c r="E20">
        <v>7.38</v>
      </c>
      <c r="L20" t="s">
        <v>567</v>
      </c>
      <c r="M20">
        <v>4.2809999999999997</v>
      </c>
      <c r="N20">
        <v>0</v>
      </c>
      <c r="O20">
        <v>3.0986753</v>
      </c>
      <c r="P20">
        <v>7.38</v>
      </c>
      <c r="Q20">
        <v>0</v>
      </c>
      <c r="R20">
        <v>0</v>
      </c>
      <c r="S20" s="1">
        <f t="shared" si="0"/>
        <v>0.95719000000000054</v>
      </c>
      <c r="T20" s="2">
        <f t="shared" si="1"/>
        <v>95.719000000000051</v>
      </c>
    </row>
    <row r="21" spans="1:20" x14ac:dyDescent="0.2">
      <c r="A21" t="s">
        <v>568</v>
      </c>
      <c r="D21">
        <v>0.15967427000000001</v>
      </c>
      <c r="E21">
        <v>6.4007750000000003</v>
      </c>
      <c r="L21" t="s">
        <v>568</v>
      </c>
      <c r="M21">
        <v>6.2409999999999997</v>
      </c>
      <c r="N21">
        <v>0</v>
      </c>
      <c r="O21">
        <v>0.15967427000000001</v>
      </c>
      <c r="P21">
        <v>6.4007750000000003</v>
      </c>
      <c r="Q21">
        <v>0</v>
      </c>
      <c r="R21">
        <v>0</v>
      </c>
      <c r="S21" s="1">
        <f t="shared" si="0"/>
        <v>0.89478000000000046</v>
      </c>
      <c r="T21" s="2">
        <f t="shared" si="1"/>
        <v>89.478000000000051</v>
      </c>
    </row>
    <row r="22" spans="1:20" x14ac:dyDescent="0.2">
      <c r="A22" t="s">
        <v>569</v>
      </c>
      <c r="D22">
        <v>0</v>
      </c>
      <c r="E22">
        <v>4.9181999999999997</v>
      </c>
      <c r="L22" t="s">
        <v>569</v>
      </c>
      <c r="M22">
        <v>4.9180000000000001</v>
      </c>
      <c r="N22">
        <v>0</v>
      </c>
      <c r="O22">
        <v>0</v>
      </c>
      <c r="P22">
        <v>4.9181999999999997</v>
      </c>
      <c r="Q22">
        <v>0</v>
      </c>
      <c r="R22">
        <v>0</v>
      </c>
      <c r="S22" s="1">
        <f t="shared" si="0"/>
        <v>0.84560000000000046</v>
      </c>
      <c r="T22" s="2">
        <f t="shared" si="1"/>
        <v>84.560000000000045</v>
      </c>
    </row>
    <row r="23" spans="1:20" x14ac:dyDescent="0.2">
      <c r="A23" t="s">
        <v>570</v>
      </c>
      <c r="D23">
        <v>0</v>
      </c>
      <c r="E23">
        <v>6.9826329999999999</v>
      </c>
      <c r="L23" t="s">
        <v>570</v>
      </c>
      <c r="M23">
        <v>6.9829999999999997</v>
      </c>
      <c r="N23">
        <v>0</v>
      </c>
      <c r="O23">
        <v>0</v>
      </c>
      <c r="P23">
        <v>6.9826329999999999</v>
      </c>
      <c r="Q23">
        <v>0</v>
      </c>
      <c r="R23">
        <v>0</v>
      </c>
      <c r="S23" s="1">
        <f t="shared" si="0"/>
        <v>0.7757700000000004</v>
      </c>
      <c r="T23" s="2">
        <f t="shared" si="1"/>
        <v>77.577000000000041</v>
      </c>
    </row>
    <row r="24" spans="1:20" x14ac:dyDescent="0.2">
      <c r="A24" t="s">
        <v>571</v>
      </c>
      <c r="D24">
        <v>0</v>
      </c>
      <c r="E24">
        <v>9.8024009999999997</v>
      </c>
      <c r="L24" t="s">
        <v>571</v>
      </c>
      <c r="M24">
        <v>9.8019999999999996</v>
      </c>
      <c r="N24">
        <v>0</v>
      </c>
      <c r="O24">
        <v>0</v>
      </c>
      <c r="P24">
        <v>9.8024009999999997</v>
      </c>
      <c r="Q24">
        <v>0</v>
      </c>
      <c r="R24">
        <v>0</v>
      </c>
      <c r="S24" s="1">
        <f t="shared" si="0"/>
        <v>0.6777500000000003</v>
      </c>
      <c r="T24" s="2">
        <f t="shared" si="1"/>
        <v>67.775000000000034</v>
      </c>
    </row>
    <row r="25" spans="1:20" x14ac:dyDescent="0.2">
      <c r="A25" t="s">
        <v>572</v>
      </c>
      <c r="D25">
        <v>0</v>
      </c>
      <c r="E25">
        <v>6.8678999999999997</v>
      </c>
      <c r="L25" t="s">
        <v>572</v>
      </c>
      <c r="M25">
        <v>6.8680000000000003</v>
      </c>
      <c r="N25">
        <v>0</v>
      </c>
      <c r="O25">
        <v>0</v>
      </c>
      <c r="P25">
        <v>6.8678999999999997</v>
      </c>
      <c r="Q25">
        <v>0</v>
      </c>
      <c r="R25">
        <v>0</v>
      </c>
      <c r="S25" s="1">
        <f t="shared" si="0"/>
        <v>0.60907000000000033</v>
      </c>
      <c r="T25" s="2">
        <f t="shared" si="1"/>
        <v>60.907000000000032</v>
      </c>
    </row>
    <row r="26" spans="1:20" x14ac:dyDescent="0.2">
      <c r="A26" t="s">
        <v>573</v>
      </c>
      <c r="D26">
        <v>0</v>
      </c>
      <c r="E26">
        <v>4.9009999999999998</v>
      </c>
      <c r="L26" t="s">
        <v>573</v>
      </c>
      <c r="M26">
        <v>4.9009999999999998</v>
      </c>
      <c r="N26">
        <v>0</v>
      </c>
      <c r="O26">
        <v>0</v>
      </c>
      <c r="P26">
        <v>4.9009999999999998</v>
      </c>
      <c r="Q26">
        <v>0</v>
      </c>
      <c r="R26">
        <v>0</v>
      </c>
      <c r="S26" s="1">
        <f t="shared" si="0"/>
        <v>0.56006000000000034</v>
      </c>
      <c r="T26" s="2">
        <f t="shared" si="1"/>
        <v>56.006000000000029</v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X26"/>
  <sheetViews>
    <sheetView workbookViewId="0"/>
  </sheetViews>
  <sheetFormatPr baseColWidth="10" defaultColWidth="8.83203125" defaultRowHeight="15" x14ac:dyDescent="0.2"/>
  <sheetData>
    <row r="1" spans="1:24" x14ac:dyDescent="0.2">
      <c r="A1" t="s">
        <v>0</v>
      </c>
      <c r="D1" t="s">
        <v>1</v>
      </c>
      <c r="L1" t="s">
        <v>2</v>
      </c>
      <c r="R1" t="s">
        <v>3</v>
      </c>
      <c r="S1" s="1">
        <v>0.56006000000000034</v>
      </c>
      <c r="T1">
        <f>S1*V1</f>
        <v>56.006000000000036</v>
      </c>
      <c r="U1" t="s">
        <v>4</v>
      </c>
      <c r="V1">
        <v>100</v>
      </c>
      <c r="W1" t="s">
        <v>5</v>
      </c>
      <c r="X1" s="1">
        <v>0.1</v>
      </c>
    </row>
    <row r="2" spans="1:24" x14ac:dyDescent="0.2">
      <c r="A2" t="s">
        <v>6</v>
      </c>
      <c r="B2" t="s">
        <v>7</v>
      </c>
      <c r="C2" t="s">
        <v>8</v>
      </c>
      <c r="D2" t="s">
        <v>9</v>
      </c>
      <c r="E2" t="s">
        <v>10</v>
      </c>
      <c r="F2" t="s">
        <v>11</v>
      </c>
      <c r="G2" t="s">
        <v>12</v>
      </c>
      <c r="H2" t="s">
        <v>13</v>
      </c>
      <c r="I2" t="s">
        <v>14</v>
      </c>
      <c r="L2" t="s">
        <v>6</v>
      </c>
      <c r="M2" t="s">
        <v>7</v>
      </c>
      <c r="N2" t="s">
        <v>8</v>
      </c>
      <c r="O2" t="s">
        <v>9</v>
      </c>
      <c r="P2" t="s">
        <v>10</v>
      </c>
      <c r="Q2" t="s">
        <v>11</v>
      </c>
      <c r="R2" t="s">
        <v>12</v>
      </c>
      <c r="S2" t="s">
        <v>13</v>
      </c>
      <c r="T2" t="s">
        <v>14</v>
      </c>
      <c r="W2" t="s">
        <v>15</v>
      </c>
      <c r="X2" s="1">
        <v>1</v>
      </c>
    </row>
    <row r="3" spans="1:24" x14ac:dyDescent="0.2">
      <c r="A3" t="s">
        <v>574</v>
      </c>
      <c r="D3">
        <v>0</v>
      </c>
      <c r="E3">
        <v>6.9036</v>
      </c>
      <c r="L3" t="s">
        <v>574</v>
      </c>
      <c r="M3">
        <v>6.9039999999999999</v>
      </c>
      <c r="N3">
        <v>0</v>
      </c>
      <c r="O3">
        <v>0</v>
      </c>
      <c r="P3">
        <v>6.9036</v>
      </c>
      <c r="Q3">
        <v>0</v>
      </c>
      <c r="R3">
        <v>0</v>
      </c>
      <c r="S3" s="1">
        <f t="shared" ref="S3:S26" si="0">T3/V$1</f>
        <v>0.49102000000000035</v>
      </c>
      <c r="T3" s="2">
        <f>T1-M3+N3</f>
        <v>49.102000000000032</v>
      </c>
    </row>
    <row r="4" spans="1:24" x14ac:dyDescent="0.2">
      <c r="A4" t="s">
        <v>575</v>
      </c>
      <c r="D4">
        <v>0</v>
      </c>
      <c r="E4">
        <v>6.7531999999999996</v>
      </c>
      <c r="L4" t="s">
        <v>575</v>
      </c>
      <c r="M4">
        <v>6.7530000000000001</v>
      </c>
      <c r="N4">
        <v>0</v>
      </c>
      <c r="O4">
        <v>0</v>
      </c>
      <c r="P4">
        <v>6.7531999999999996</v>
      </c>
      <c r="Q4">
        <v>0</v>
      </c>
      <c r="R4">
        <v>0</v>
      </c>
      <c r="S4" s="1">
        <f t="shared" si="0"/>
        <v>0.42349000000000031</v>
      </c>
      <c r="T4" s="2">
        <f t="shared" ref="T4:T26" si="1">T3-M4+N4</f>
        <v>42.349000000000032</v>
      </c>
    </row>
    <row r="5" spans="1:24" x14ac:dyDescent="0.2">
      <c r="A5" t="s">
        <v>576</v>
      </c>
      <c r="D5">
        <v>0</v>
      </c>
      <c r="E5">
        <v>6.9414749999999996</v>
      </c>
      <c r="L5" t="s">
        <v>576</v>
      </c>
      <c r="M5">
        <v>6.9409999999999998</v>
      </c>
      <c r="N5">
        <v>0</v>
      </c>
      <c r="O5">
        <v>0</v>
      </c>
      <c r="P5">
        <v>6.9414749999999996</v>
      </c>
      <c r="Q5">
        <v>0</v>
      </c>
      <c r="R5">
        <v>0</v>
      </c>
      <c r="S5" s="1">
        <f t="shared" si="0"/>
        <v>0.35408000000000028</v>
      </c>
      <c r="T5" s="2">
        <f t="shared" si="1"/>
        <v>35.40800000000003</v>
      </c>
    </row>
    <row r="6" spans="1:24" x14ac:dyDescent="0.2">
      <c r="A6" t="s">
        <v>577</v>
      </c>
      <c r="D6">
        <v>0</v>
      </c>
      <c r="E6">
        <v>6.8897003999999997</v>
      </c>
      <c r="L6" t="s">
        <v>577</v>
      </c>
      <c r="M6">
        <v>6.89</v>
      </c>
      <c r="N6">
        <v>0</v>
      </c>
      <c r="O6">
        <v>0</v>
      </c>
      <c r="P6">
        <v>6.8897003999999997</v>
      </c>
      <c r="Q6">
        <v>0</v>
      </c>
      <c r="R6">
        <v>0</v>
      </c>
      <c r="S6" s="1">
        <f t="shared" si="0"/>
        <v>0.28518000000000027</v>
      </c>
      <c r="T6" s="2">
        <f t="shared" si="1"/>
        <v>28.518000000000029</v>
      </c>
      <c r="V6" t="s">
        <v>20</v>
      </c>
      <c r="W6" t="s">
        <v>578</v>
      </c>
    </row>
    <row r="7" spans="1:24" x14ac:dyDescent="0.2">
      <c r="A7" t="s">
        <v>579</v>
      </c>
      <c r="D7">
        <v>0</v>
      </c>
      <c r="E7">
        <v>7.1614000000000004</v>
      </c>
      <c r="L7" t="s">
        <v>579</v>
      </c>
      <c r="M7">
        <v>7.1609999999999996</v>
      </c>
      <c r="N7">
        <v>0</v>
      </c>
      <c r="O7">
        <v>0</v>
      </c>
      <c r="P7">
        <v>7.1614000000000004</v>
      </c>
      <c r="Q7">
        <v>0</v>
      </c>
      <c r="R7">
        <v>0</v>
      </c>
      <c r="S7" s="1">
        <f t="shared" si="0"/>
        <v>0.21357000000000029</v>
      </c>
      <c r="T7" s="2">
        <f t="shared" si="1"/>
        <v>21.357000000000028</v>
      </c>
      <c r="V7" t="s">
        <v>23</v>
      </c>
      <c r="W7" t="s">
        <v>24</v>
      </c>
    </row>
    <row r="8" spans="1:24" x14ac:dyDescent="0.2">
      <c r="A8" t="s">
        <v>580</v>
      </c>
      <c r="D8">
        <v>0</v>
      </c>
      <c r="E8">
        <v>6.7856249999999996</v>
      </c>
      <c r="L8" t="s">
        <v>580</v>
      </c>
      <c r="M8">
        <v>5.0199999999999996</v>
      </c>
      <c r="N8">
        <v>0</v>
      </c>
      <c r="O8">
        <v>0</v>
      </c>
      <c r="P8">
        <v>6.7856249999999996</v>
      </c>
      <c r="Q8">
        <v>0</v>
      </c>
      <c r="R8">
        <v>1.765625</v>
      </c>
      <c r="S8" s="1">
        <f t="shared" si="0"/>
        <v>0.16337000000000029</v>
      </c>
      <c r="T8" s="2">
        <f t="shared" si="1"/>
        <v>16.337000000000028</v>
      </c>
      <c r="V8" t="s">
        <v>26</v>
      </c>
      <c r="W8">
        <v>8.2000000000000003E-2</v>
      </c>
    </row>
    <row r="9" spans="1:24" x14ac:dyDescent="0.2">
      <c r="A9" t="s">
        <v>581</v>
      </c>
      <c r="D9">
        <v>0</v>
      </c>
      <c r="E9">
        <v>6.8487</v>
      </c>
      <c r="L9" t="s">
        <v>581</v>
      </c>
      <c r="M9">
        <v>0</v>
      </c>
      <c r="N9">
        <v>0</v>
      </c>
      <c r="O9">
        <v>0</v>
      </c>
      <c r="P9">
        <v>6.8487</v>
      </c>
      <c r="Q9">
        <v>0</v>
      </c>
      <c r="R9">
        <v>6.8487</v>
      </c>
      <c r="S9" s="1">
        <f t="shared" si="0"/>
        <v>0.16337000000000029</v>
      </c>
      <c r="T9" s="2">
        <f t="shared" si="1"/>
        <v>16.337000000000028</v>
      </c>
      <c r="V9" t="s">
        <v>28</v>
      </c>
      <c r="W9">
        <f>W8/60</f>
        <v>1.3666666666666666E-3</v>
      </c>
    </row>
    <row r="10" spans="1:24" x14ac:dyDescent="0.2">
      <c r="A10" t="s">
        <v>582</v>
      </c>
      <c r="D10">
        <v>0.21072505</v>
      </c>
      <c r="E10">
        <v>6.5472000000000001</v>
      </c>
      <c r="L10" t="s">
        <v>582</v>
      </c>
      <c r="M10">
        <v>6.3360000000000003</v>
      </c>
      <c r="N10">
        <v>0</v>
      </c>
      <c r="O10">
        <v>0.21072505</v>
      </c>
      <c r="P10">
        <v>6.5472000000000001</v>
      </c>
      <c r="Q10">
        <v>0</v>
      </c>
      <c r="R10">
        <v>0</v>
      </c>
      <c r="S10" s="1">
        <f t="shared" si="0"/>
        <v>0.10001000000000028</v>
      </c>
      <c r="T10" s="2">
        <f t="shared" si="1"/>
        <v>10.001000000000028</v>
      </c>
    </row>
    <row r="11" spans="1:24" x14ac:dyDescent="0.2">
      <c r="A11" t="s">
        <v>583</v>
      </c>
      <c r="D11">
        <v>7.9870995999999996</v>
      </c>
      <c r="E11">
        <v>6.6779999999999999</v>
      </c>
      <c r="L11" t="s">
        <v>583</v>
      </c>
      <c r="M11">
        <v>0</v>
      </c>
      <c r="N11">
        <v>0</v>
      </c>
      <c r="O11">
        <v>7.9870995999999996</v>
      </c>
      <c r="P11">
        <v>6.6779999999999999</v>
      </c>
      <c r="Q11">
        <v>1.3090995999999999</v>
      </c>
      <c r="R11">
        <v>0</v>
      </c>
      <c r="S11" s="1">
        <f t="shared" si="0"/>
        <v>0.10001000000000028</v>
      </c>
      <c r="T11" s="2">
        <f t="shared" si="1"/>
        <v>10.001000000000028</v>
      </c>
    </row>
    <row r="12" spans="1:24" x14ac:dyDescent="0.2">
      <c r="A12" t="s">
        <v>584</v>
      </c>
      <c r="D12">
        <v>26.652552</v>
      </c>
      <c r="E12">
        <v>4.8802995999999998</v>
      </c>
      <c r="L12" t="s">
        <v>584</v>
      </c>
      <c r="M12">
        <v>0</v>
      </c>
      <c r="N12">
        <v>9.3070000000000004</v>
      </c>
      <c r="O12">
        <v>26.652552</v>
      </c>
      <c r="P12">
        <v>4.8802995999999998</v>
      </c>
      <c r="Q12">
        <v>12.465252400000001</v>
      </c>
      <c r="R12">
        <v>0</v>
      </c>
      <c r="S12" s="1">
        <f t="shared" si="0"/>
        <v>0.19308000000000028</v>
      </c>
      <c r="T12" s="2">
        <f t="shared" si="1"/>
        <v>19.308000000000028</v>
      </c>
    </row>
    <row r="13" spans="1:24" x14ac:dyDescent="0.2">
      <c r="A13" t="s">
        <v>585</v>
      </c>
      <c r="D13">
        <v>35.923873999999998</v>
      </c>
      <c r="E13">
        <v>6.8455000000000004</v>
      </c>
      <c r="L13" t="s">
        <v>585</v>
      </c>
      <c r="M13">
        <v>0</v>
      </c>
      <c r="N13">
        <v>0</v>
      </c>
      <c r="O13">
        <v>35.923873999999998</v>
      </c>
      <c r="P13">
        <v>6.8455000000000004</v>
      </c>
      <c r="Q13">
        <v>29.078374</v>
      </c>
      <c r="R13">
        <v>0</v>
      </c>
      <c r="S13" s="1">
        <f t="shared" si="0"/>
        <v>0.19308000000000028</v>
      </c>
      <c r="T13" s="2">
        <f t="shared" si="1"/>
        <v>19.308000000000028</v>
      </c>
    </row>
    <row r="14" spans="1:24" x14ac:dyDescent="0.2">
      <c r="A14" t="s">
        <v>586</v>
      </c>
      <c r="D14">
        <v>40.793925999999999</v>
      </c>
      <c r="E14">
        <v>6.6911497000000004</v>
      </c>
      <c r="L14" t="s">
        <v>586</v>
      </c>
      <c r="M14">
        <v>0</v>
      </c>
      <c r="N14">
        <v>0</v>
      </c>
      <c r="O14">
        <v>40.793925999999999</v>
      </c>
      <c r="P14">
        <v>6.6911497000000004</v>
      </c>
      <c r="Q14">
        <v>34.102776300000002</v>
      </c>
      <c r="R14">
        <v>0</v>
      </c>
      <c r="S14" s="1">
        <f t="shared" si="0"/>
        <v>0.19308000000000028</v>
      </c>
      <c r="T14" s="2">
        <f t="shared" si="1"/>
        <v>19.308000000000028</v>
      </c>
    </row>
    <row r="15" spans="1:24" x14ac:dyDescent="0.2">
      <c r="A15" t="s">
        <v>587</v>
      </c>
      <c r="D15">
        <v>42.610626000000003</v>
      </c>
      <c r="E15">
        <v>6.6580496</v>
      </c>
      <c r="L15" t="s">
        <v>587</v>
      </c>
      <c r="M15">
        <v>0</v>
      </c>
      <c r="N15">
        <v>35.953000000000003</v>
      </c>
      <c r="O15">
        <v>42.610626000000003</v>
      </c>
      <c r="P15">
        <v>6.6580496</v>
      </c>
      <c r="Q15">
        <v>0</v>
      </c>
      <c r="R15">
        <v>0</v>
      </c>
      <c r="S15" s="1">
        <f t="shared" si="0"/>
        <v>0.55261000000000027</v>
      </c>
      <c r="T15" s="2">
        <f t="shared" si="1"/>
        <v>55.261000000000031</v>
      </c>
    </row>
    <row r="16" spans="1:24" x14ac:dyDescent="0.2">
      <c r="A16" t="s">
        <v>588</v>
      </c>
      <c r="D16">
        <v>41.806899999999999</v>
      </c>
      <c r="E16">
        <v>6.8868</v>
      </c>
      <c r="L16" t="s">
        <v>588</v>
      </c>
      <c r="M16">
        <v>0</v>
      </c>
      <c r="N16">
        <v>0</v>
      </c>
      <c r="O16">
        <v>41.806899999999999</v>
      </c>
      <c r="P16">
        <v>6.8868</v>
      </c>
      <c r="Q16">
        <v>34.920099999999998</v>
      </c>
      <c r="R16">
        <v>0</v>
      </c>
      <c r="S16" s="1">
        <f t="shared" si="0"/>
        <v>0.55261000000000027</v>
      </c>
      <c r="T16" s="2">
        <f t="shared" si="1"/>
        <v>55.261000000000031</v>
      </c>
    </row>
    <row r="17" spans="1:20" x14ac:dyDescent="0.2">
      <c r="A17" t="s">
        <v>589</v>
      </c>
      <c r="D17">
        <v>38.030174000000002</v>
      </c>
      <c r="E17">
        <v>4.9013999999999998</v>
      </c>
      <c r="L17" t="s">
        <v>589</v>
      </c>
      <c r="M17">
        <v>0</v>
      </c>
      <c r="N17">
        <v>33.128999999999998</v>
      </c>
      <c r="O17">
        <v>38.030174000000002</v>
      </c>
      <c r="P17">
        <v>4.9013999999999998</v>
      </c>
      <c r="Q17">
        <v>0</v>
      </c>
      <c r="R17">
        <v>0</v>
      </c>
      <c r="S17" s="1">
        <f t="shared" si="0"/>
        <v>0.88390000000000024</v>
      </c>
      <c r="T17" s="2">
        <f t="shared" si="1"/>
        <v>88.390000000000029</v>
      </c>
    </row>
    <row r="18" spans="1:20" x14ac:dyDescent="0.2">
      <c r="A18" t="s">
        <v>590</v>
      </c>
      <c r="D18">
        <v>30.085999999999999</v>
      </c>
      <c r="E18">
        <v>6.7272334000000003</v>
      </c>
      <c r="L18" t="s">
        <v>590</v>
      </c>
      <c r="M18">
        <v>0</v>
      </c>
      <c r="N18">
        <v>0</v>
      </c>
      <c r="O18">
        <v>30.085999999999999</v>
      </c>
      <c r="P18">
        <v>6.7272334000000003</v>
      </c>
      <c r="Q18">
        <v>23.358766599999999</v>
      </c>
      <c r="R18">
        <v>0</v>
      </c>
      <c r="S18" s="1">
        <f t="shared" si="0"/>
        <v>0.88390000000000024</v>
      </c>
      <c r="T18" s="2">
        <f t="shared" si="1"/>
        <v>88.390000000000029</v>
      </c>
    </row>
    <row r="19" spans="1:20" x14ac:dyDescent="0.2">
      <c r="A19" t="s">
        <v>591</v>
      </c>
      <c r="D19">
        <v>18.226649999999999</v>
      </c>
      <c r="E19">
        <v>6.6147003</v>
      </c>
      <c r="L19" t="s">
        <v>591</v>
      </c>
      <c r="M19">
        <v>0</v>
      </c>
      <c r="N19">
        <v>11.612</v>
      </c>
      <c r="O19">
        <v>18.226649999999999</v>
      </c>
      <c r="P19">
        <v>6.6147003</v>
      </c>
      <c r="Q19">
        <v>0</v>
      </c>
      <c r="R19">
        <v>0</v>
      </c>
      <c r="S19" s="1">
        <f t="shared" si="0"/>
        <v>1.0000200000000001</v>
      </c>
      <c r="T19" s="2">
        <f t="shared" si="1"/>
        <v>100.00200000000002</v>
      </c>
    </row>
    <row r="20" spans="1:20" x14ac:dyDescent="0.2">
      <c r="A20" t="s">
        <v>592</v>
      </c>
      <c r="D20">
        <v>4.924525</v>
      </c>
      <c r="E20">
        <v>6.9498996999999996</v>
      </c>
      <c r="L20" t="s">
        <v>592</v>
      </c>
      <c r="M20">
        <v>2.0249999999999999</v>
      </c>
      <c r="N20">
        <v>0</v>
      </c>
      <c r="O20">
        <v>4.924525</v>
      </c>
      <c r="P20">
        <v>6.9498996999999996</v>
      </c>
      <c r="Q20">
        <v>0</v>
      </c>
      <c r="R20">
        <v>0</v>
      </c>
      <c r="S20" s="1">
        <f t="shared" si="0"/>
        <v>0.97977000000000014</v>
      </c>
      <c r="T20" s="2">
        <f t="shared" si="1"/>
        <v>97.977000000000018</v>
      </c>
    </row>
    <row r="21" spans="1:20" x14ac:dyDescent="0.2">
      <c r="A21" t="s">
        <v>593</v>
      </c>
      <c r="D21">
        <v>0.16357563</v>
      </c>
      <c r="E21">
        <v>6.3743252999999997</v>
      </c>
      <c r="L21" t="s">
        <v>593</v>
      </c>
      <c r="M21">
        <v>6.2110000000000003</v>
      </c>
      <c r="N21">
        <v>0</v>
      </c>
      <c r="O21">
        <v>0.16357563</v>
      </c>
      <c r="P21">
        <v>6.3743252999999997</v>
      </c>
      <c r="Q21">
        <v>0</v>
      </c>
      <c r="R21">
        <v>0</v>
      </c>
      <c r="S21" s="1">
        <f t="shared" si="0"/>
        <v>0.91766000000000014</v>
      </c>
      <c r="T21" s="2">
        <f t="shared" si="1"/>
        <v>91.76600000000002</v>
      </c>
    </row>
    <row r="22" spans="1:20" x14ac:dyDescent="0.2">
      <c r="A22" t="s">
        <v>594</v>
      </c>
      <c r="D22">
        <v>0</v>
      </c>
      <c r="E22">
        <v>6.7380332999999997</v>
      </c>
      <c r="L22" t="s">
        <v>594</v>
      </c>
      <c r="M22">
        <v>6.7380000000000004</v>
      </c>
      <c r="N22">
        <v>0</v>
      </c>
      <c r="O22">
        <v>0</v>
      </c>
      <c r="P22">
        <v>6.7380332999999997</v>
      </c>
      <c r="Q22">
        <v>0</v>
      </c>
      <c r="R22">
        <v>0</v>
      </c>
      <c r="S22" s="1">
        <f t="shared" si="0"/>
        <v>0.85028000000000015</v>
      </c>
      <c r="T22" s="2">
        <f t="shared" si="1"/>
        <v>85.02800000000002</v>
      </c>
    </row>
    <row r="23" spans="1:20" x14ac:dyDescent="0.2">
      <c r="A23" t="s">
        <v>595</v>
      </c>
      <c r="D23">
        <v>0</v>
      </c>
      <c r="E23">
        <v>6.7712000000000003</v>
      </c>
      <c r="L23" t="s">
        <v>595</v>
      </c>
      <c r="M23">
        <v>6.7709999999999999</v>
      </c>
      <c r="N23">
        <v>0</v>
      </c>
      <c r="O23">
        <v>0</v>
      </c>
      <c r="P23">
        <v>6.7712000000000003</v>
      </c>
      <c r="Q23">
        <v>0</v>
      </c>
      <c r="R23">
        <v>0</v>
      </c>
      <c r="S23" s="1">
        <f t="shared" si="0"/>
        <v>0.78257000000000021</v>
      </c>
      <c r="T23" s="2">
        <f t="shared" si="1"/>
        <v>78.257000000000019</v>
      </c>
    </row>
    <row r="24" spans="1:20" x14ac:dyDescent="0.2">
      <c r="A24" t="s">
        <v>596</v>
      </c>
      <c r="D24">
        <v>0</v>
      </c>
      <c r="E24">
        <v>6.8043665999999998</v>
      </c>
      <c r="L24" t="s">
        <v>596</v>
      </c>
      <c r="M24">
        <v>6.8040000000000003</v>
      </c>
      <c r="N24">
        <v>0</v>
      </c>
      <c r="O24">
        <v>0</v>
      </c>
      <c r="P24">
        <v>6.8043665999999998</v>
      </c>
      <c r="Q24">
        <v>0</v>
      </c>
      <c r="R24">
        <v>0</v>
      </c>
      <c r="S24" s="1">
        <f t="shared" si="0"/>
        <v>0.71453000000000022</v>
      </c>
      <c r="T24" s="2">
        <f t="shared" si="1"/>
        <v>71.453000000000017</v>
      </c>
    </row>
    <row r="25" spans="1:20" x14ac:dyDescent="0.2">
      <c r="A25" t="s">
        <v>597</v>
      </c>
      <c r="D25">
        <v>0</v>
      </c>
      <c r="E25">
        <v>6.8375329999999996</v>
      </c>
      <c r="L25" t="s">
        <v>597</v>
      </c>
      <c r="M25">
        <v>6.8380000000000001</v>
      </c>
      <c r="N25">
        <v>0</v>
      </c>
      <c r="O25">
        <v>0</v>
      </c>
      <c r="P25">
        <v>6.8375329999999996</v>
      </c>
      <c r="Q25">
        <v>0</v>
      </c>
      <c r="R25">
        <v>0</v>
      </c>
      <c r="S25" s="1">
        <f t="shared" si="0"/>
        <v>0.64615000000000022</v>
      </c>
      <c r="T25" s="2">
        <f t="shared" si="1"/>
        <v>64.615000000000023</v>
      </c>
    </row>
    <row r="26" spans="1:20" x14ac:dyDescent="0.2">
      <c r="A26" t="s">
        <v>598</v>
      </c>
      <c r="D26">
        <v>0</v>
      </c>
      <c r="E26">
        <v>6.1222997000000001</v>
      </c>
      <c r="L26" t="s">
        <v>598</v>
      </c>
      <c r="M26">
        <v>6.1219999999999999</v>
      </c>
      <c r="N26">
        <v>0</v>
      </c>
      <c r="O26">
        <v>0</v>
      </c>
      <c r="P26">
        <v>6.1222997000000001</v>
      </c>
      <c r="Q26">
        <v>0</v>
      </c>
      <c r="R26">
        <v>0</v>
      </c>
      <c r="S26" s="1">
        <f t="shared" si="0"/>
        <v>0.58493000000000028</v>
      </c>
      <c r="T26" s="2">
        <f t="shared" si="1"/>
        <v>58.493000000000023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X26"/>
  <sheetViews>
    <sheetView workbookViewId="0"/>
  </sheetViews>
  <sheetFormatPr baseColWidth="10" defaultColWidth="8.83203125" defaultRowHeight="15" x14ac:dyDescent="0.2"/>
  <sheetData>
    <row r="1" spans="1:24" x14ac:dyDescent="0.2">
      <c r="A1" t="s">
        <v>0</v>
      </c>
      <c r="D1" t="s">
        <v>1</v>
      </c>
      <c r="L1" t="s">
        <v>2</v>
      </c>
      <c r="R1" t="s">
        <v>3</v>
      </c>
      <c r="S1" s="1">
        <v>0.58493000000000028</v>
      </c>
      <c r="T1">
        <f>S1*V1</f>
        <v>58.493000000000031</v>
      </c>
      <c r="U1" t="s">
        <v>4</v>
      </c>
      <c r="V1">
        <v>100</v>
      </c>
      <c r="W1" t="s">
        <v>5</v>
      </c>
      <c r="X1" s="1">
        <v>0.1</v>
      </c>
    </row>
    <row r="2" spans="1:24" x14ac:dyDescent="0.2">
      <c r="A2" t="s">
        <v>6</v>
      </c>
      <c r="B2" t="s">
        <v>7</v>
      </c>
      <c r="C2" t="s">
        <v>8</v>
      </c>
      <c r="D2" t="s">
        <v>9</v>
      </c>
      <c r="E2" t="s">
        <v>10</v>
      </c>
      <c r="F2" t="s">
        <v>11</v>
      </c>
      <c r="G2" t="s">
        <v>12</v>
      </c>
      <c r="H2" t="s">
        <v>13</v>
      </c>
      <c r="I2" t="s">
        <v>14</v>
      </c>
      <c r="L2" t="s">
        <v>6</v>
      </c>
      <c r="M2" t="s">
        <v>7</v>
      </c>
      <c r="N2" t="s">
        <v>8</v>
      </c>
      <c r="O2" t="s">
        <v>9</v>
      </c>
      <c r="P2" t="s">
        <v>10</v>
      </c>
      <c r="Q2" t="s">
        <v>11</v>
      </c>
      <c r="R2" t="s">
        <v>12</v>
      </c>
      <c r="S2" t="s">
        <v>13</v>
      </c>
      <c r="T2" t="s">
        <v>14</v>
      </c>
      <c r="W2" t="s">
        <v>15</v>
      </c>
      <c r="X2" s="1">
        <v>1</v>
      </c>
    </row>
    <row r="3" spans="1:24" x14ac:dyDescent="0.2">
      <c r="A3" t="s">
        <v>599</v>
      </c>
      <c r="D3">
        <v>0</v>
      </c>
      <c r="E3">
        <v>6.8070000000000004</v>
      </c>
      <c r="L3" t="s">
        <v>599</v>
      </c>
      <c r="M3">
        <v>6.8070000000000004</v>
      </c>
      <c r="N3">
        <v>0</v>
      </c>
      <c r="O3">
        <v>0</v>
      </c>
      <c r="P3">
        <v>6.8070000000000004</v>
      </c>
      <c r="Q3">
        <v>0</v>
      </c>
      <c r="R3">
        <v>0</v>
      </c>
      <c r="S3" s="1">
        <f t="shared" ref="S3:S26" si="0">T3/V$1</f>
        <v>0.51686000000000032</v>
      </c>
      <c r="T3" s="2">
        <f>T1-M3+N3</f>
        <v>51.686000000000028</v>
      </c>
    </row>
    <row r="4" spans="1:24" x14ac:dyDescent="0.2">
      <c r="A4" t="s">
        <v>600</v>
      </c>
      <c r="D4">
        <v>0</v>
      </c>
      <c r="E4">
        <v>6.7237334000000004</v>
      </c>
      <c r="L4" t="s">
        <v>600</v>
      </c>
      <c r="M4">
        <v>6.7240000000000002</v>
      </c>
      <c r="N4">
        <v>0</v>
      </c>
      <c r="O4">
        <v>0</v>
      </c>
      <c r="P4">
        <v>6.7237334000000004</v>
      </c>
      <c r="Q4">
        <v>0</v>
      </c>
      <c r="R4">
        <v>0</v>
      </c>
      <c r="S4" s="1">
        <f t="shared" si="0"/>
        <v>0.4496200000000003</v>
      </c>
      <c r="T4" s="2">
        <f t="shared" ref="T4:T26" si="1">T3-M4+N4</f>
        <v>44.962000000000032</v>
      </c>
    </row>
    <row r="5" spans="1:24" x14ac:dyDescent="0.2">
      <c r="A5" t="s">
        <v>601</v>
      </c>
      <c r="D5">
        <v>0</v>
      </c>
      <c r="E5">
        <v>6.9867996999999997</v>
      </c>
      <c r="L5" t="s">
        <v>601</v>
      </c>
      <c r="M5">
        <v>6.9870000000000001</v>
      </c>
      <c r="N5">
        <v>0</v>
      </c>
      <c r="O5">
        <v>0</v>
      </c>
      <c r="P5">
        <v>6.9867996999999997</v>
      </c>
      <c r="Q5">
        <v>0</v>
      </c>
      <c r="R5">
        <v>0</v>
      </c>
      <c r="S5" s="1">
        <f t="shared" si="0"/>
        <v>0.37975000000000031</v>
      </c>
      <c r="T5" s="2">
        <f t="shared" si="1"/>
        <v>37.97500000000003</v>
      </c>
    </row>
    <row r="6" spans="1:24" x14ac:dyDescent="0.2">
      <c r="A6" t="s">
        <v>602</v>
      </c>
      <c r="D6">
        <v>0</v>
      </c>
      <c r="E6">
        <v>7.2498665000000004</v>
      </c>
      <c r="L6" t="s">
        <v>602</v>
      </c>
      <c r="M6">
        <v>7.25</v>
      </c>
      <c r="N6">
        <v>0</v>
      </c>
      <c r="O6">
        <v>0</v>
      </c>
      <c r="P6">
        <v>7.2498665000000004</v>
      </c>
      <c r="Q6">
        <v>0</v>
      </c>
      <c r="R6">
        <v>0</v>
      </c>
      <c r="S6" s="1">
        <f t="shared" si="0"/>
        <v>0.3072500000000003</v>
      </c>
      <c r="T6" s="2">
        <f t="shared" si="1"/>
        <v>30.72500000000003</v>
      </c>
      <c r="V6" t="s">
        <v>20</v>
      </c>
      <c r="W6" t="s">
        <v>603</v>
      </c>
    </row>
    <row r="7" spans="1:24" x14ac:dyDescent="0.2">
      <c r="A7" t="s">
        <v>604</v>
      </c>
      <c r="D7">
        <v>0</v>
      </c>
      <c r="E7">
        <v>6.7672252999999998</v>
      </c>
      <c r="L7" t="s">
        <v>604</v>
      </c>
      <c r="M7">
        <v>6.7670000000000003</v>
      </c>
      <c r="N7">
        <v>0</v>
      </c>
      <c r="O7">
        <v>0</v>
      </c>
      <c r="P7">
        <v>6.7672252999999998</v>
      </c>
      <c r="Q7">
        <v>0</v>
      </c>
      <c r="R7">
        <v>0</v>
      </c>
      <c r="S7" s="1">
        <f t="shared" si="0"/>
        <v>0.23958000000000029</v>
      </c>
      <c r="T7" s="2">
        <f t="shared" si="1"/>
        <v>23.95800000000003</v>
      </c>
      <c r="V7" t="s">
        <v>23</v>
      </c>
      <c r="W7" t="s">
        <v>24</v>
      </c>
    </row>
    <row r="8" spans="1:24" x14ac:dyDescent="0.2">
      <c r="A8" t="s">
        <v>605</v>
      </c>
      <c r="D8">
        <v>0</v>
      </c>
      <c r="E8">
        <v>6.7388997000000002</v>
      </c>
      <c r="L8" t="s">
        <v>605</v>
      </c>
      <c r="M8">
        <v>6.7389999999999999</v>
      </c>
      <c r="N8">
        <v>0</v>
      </c>
      <c r="O8">
        <v>0</v>
      </c>
      <c r="P8">
        <v>6.7388997000000002</v>
      </c>
      <c r="Q8">
        <v>0</v>
      </c>
      <c r="R8">
        <v>0</v>
      </c>
      <c r="S8" s="1">
        <f t="shared" si="0"/>
        <v>0.17219000000000029</v>
      </c>
      <c r="T8" s="2">
        <f t="shared" si="1"/>
        <v>17.21900000000003</v>
      </c>
      <c r="V8" t="s">
        <v>26</v>
      </c>
      <c r="W8">
        <v>8.2000000000000003E-2</v>
      </c>
    </row>
    <row r="9" spans="1:24" x14ac:dyDescent="0.2">
      <c r="A9" t="s">
        <v>606</v>
      </c>
      <c r="D9">
        <v>0</v>
      </c>
      <c r="E9">
        <v>6.6953997999999997</v>
      </c>
      <c r="L9" t="s">
        <v>606</v>
      </c>
      <c r="M9">
        <v>6.6950000000000003</v>
      </c>
      <c r="N9">
        <v>0</v>
      </c>
      <c r="O9">
        <v>0</v>
      </c>
      <c r="P9">
        <v>6.6953997999999997</v>
      </c>
      <c r="Q9">
        <v>0</v>
      </c>
      <c r="R9">
        <v>0</v>
      </c>
      <c r="S9" s="1">
        <f t="shared" si="0"/>
        <v>0.10524000000000029</v>
      </c>
      <c r="T9" s="2">
        <f t="shared" si="1"/>
        <v>10.524000000000029</v>
      </c>
      <c r="V9" t="s">
        <v>28</v>
      </c>
      <c r="W9">
        <f>W8/60</f>
        <v>1.3666666666666666E-3</v>
      </c>
    </row>
    <row r="10" spans="1:24" x14ac:dyDescent="0.2">
      <c r="A10" t="s">
        <v>607</v>
      </c>
      <c r="D10">
        <v>0.34877488000000001</v>
      </c>
      <c r="E10">
        <v>6.9372996999999996</v>
      </c>
      <c r="L10" t="s">
        <v>607</v>
      </c>
      <c r="M10">
        <v>0.01</v>
      </c>
      <c r="N10">
        <v>0</v>
      </c>
      <c r="O10">
        <v>0.34877488000000001</v>
      </c>
      <c r="P10">
        <v>6.9372996999999996</v>
      </c>
      <c r="Q10">
        <v>0</v>
      </c>
      <c r="R10">
        <v>6.5785248200000002</v>
      </c>
      <c r="S10" s="1">
        <f t="shared" si="0"/>
        <v>0.10514000000000029</v>
      </c>
      <c r="T10" s="2">
        <f t="shared" si="1"/>
        <v>10.51400000000003</v>
      </c>
    </row>
    <row r="11" spans="1:24" x14ac:dyDescent="0.2">
      <c r="A11" t="s">
        <v>608</v>
      </c>
      <c r="D11">
        <v>6.4593005000000003</v>
      </c>
      <c r="E11">
        <v>6.9736000000000002</v>
      </c>
      <c r="L11" t="s">
        <v>608</v>
      </c>
      <c r="M11">
        <v>0.51400000000000001</v>
      </c>
      <c r="N11">
        <v>0</v>
      </c>
      <c r="O11">
        <v>6.4593005000000003</v>
      </c>
      <c r="P11">
        <v>6.9736000000000002</v>
      </c>
      <c r="Q11">
        <v>0</v>
      </c>
      <c r="R11">
        <v>0</v>
      </c>
      <c r="S11" s="1">
        <f t="shared" si="0"/>
        <v>0.1000000000000003</v>
      </c>
      <c r="T11" s="2">
        <f t="shared" si="1"/>
        <v>10.00000000000003</v>
      </c>
    </row>
    <row r="12" spans="1:24" x14ac:dyDescent="0.2">
      <c r="A12" t="s">
        <v>609</v>
      </c>
      <c r="D12">
        <v>22.896274999999999</v>
      </c>
      <c r="E12">
        <v>7.7925000000000004</v>
      </c>
      <c r="L12" t="s">
        <v>609</v>
      </c>
      <c r="M12">
        <v>0</v>
      </c>
      <c r="N12">
        <v>15.103999999999999</v>
      </c>
      <c r="O12">
        <v>22.896274999999999</v>
      </c>
      <c r="P12">
        <v>7.7925000000000004</v>
      </c>
      <c r="Q12">
        <v>0</v>
      </c>
      <c r="R12">
        <v>0</v>
      </c>
      <c r="S12" s="1">
        <f t="shared" si="0"/>
        <v>0.25104000000000026</v>
      </c>
      <c r="T12" s="2">
        <f t="shared" si="1"/>
        <v>25.104000000000028</v>
      </c>
    </row>
    <row r="13" spans="1:24" x14ac:dyDescent="0.2">
      <c r="A13" t="s">
        <v>610</v>
      </c>
      <c r="D13">
        <v>32.790897000000001</v>
      </c>
      <c r="E13">
        <v>10.165800000000001</v>
      </c>
      <c r="L13" t="s">
        <v>610</v>
      </c>
      <c r="M13">
        <v>0</v>
      </c>
      <c r="N13">
        <v>22.625</v>
      </c>
      <c r="O13">
        <v>32.790897000000001</v>
      </c>
      <c r="P13">
        <v>10.165800000000001</v>
      </c>
      <c r="Q13">
        <v>0</v>
      </c>
      <c r="R13">
        <v>0</v>
      </c>
      <c r="S13" s="1">
        <f t="shared" si="0"/>
        <v>0.47729000000000027</v>
      </c>
      <c r="T13" s="2">
        <f t="shared" si="1"/>
        <v>47.729000000000028</v>
      </c>
    </row>
    <row r="14" spans="1:24" x14ac:dyDescent="0.2">
      <c r="A14" t="s">
        <v>611</v>
      </c>
      <c r="D14">
        <v>37.432975999999996</v>
      </c>
      <c r="E14">
        <v>7.9500999999999999</v>
      </c>
      <c r="L14" t="s">
        <v>611</v>
      </c>
      <c r="M14">
        <v>0</v>
      </c>
      <c r="N14">
        <v>21.195</v>
      </c>
      <c r="O14">
        <v>37.432975999999996</v>
      </c>
      <c r="P14">
        <v>7.9500999999999999</v>
      </c>
      <c r="Q14">
        <v>8.2878759999999971</v>
      </c>
      <c r="R14">
        <v>0</v>
      </c>
      <c r="S14" s="1">
        <f t="shared" si="0"/>
        <v>0.6892400000000003</v>
      </c>
      <c r="T14" s="2">
        <f t="shared" si="1"/>
        <v>68.924000000000035</v>
      </c>
    </row>
    <row r="15" spans="1:24" x14ac:dyDescent="0.2">
      <c r="A15" t="s">
        <v>612</v>
      </c>
      <c r="D15">
        <v>38.394024000000002</v>
      </c>
      <c r="E15">
        <v>10.9361</v>
      </c>
      <c r="L15" t="s">
        <v>612</v>
      </c>
      <c r="M15">
        <v>0</v>
      </c>
      <c r="N15">
        <v>27.457999999999998</v>
      </c>
      <c r="O15">
        <v>38.394024000000002</v>
      </c>
      <c r="P15">
        <v>10.9361</v>
      </c>
      <c r="Q15">
        <v>0</v>
      </c>
      <c r="R15">
        <v>0</v>
      </c>
      <c r="S15" s="1">
        <f t="shared" si="0"/>
        <v>0.96382000000000034</v>
      </c>
      <c r="T15" s="2">
        <f t="shared" si="1"/>
        <v>96.382000000000033</v>
      </c>
    </row>
    <row r="16" spans="1:24" x14ac:dyDescent="0.2">
      <c r="A16" t="s">
        <v>613</v>
      </c>
      <c r="D16">
        <v>37.893726000000001</v>
      </c>
      <c r="E16">
        <v>12.617050000000001</v>
      </c>
      <c r="L16" t="s">
        <v>613</v>
      </c>
      <c r="M16">
        <v>0</v>
      </c>
      <c r="N16">
        <v>0</v>
      </c>
      <c r="O16">
        <v>37.893726000000001</v>
      </c>
      <c r="P16">
        <v>12.617050000000001</v>
      </c>
      <c r="Q16">
        <v>25.276675999999998</v>
      </c>
      <c r="R16">
        <v>0</v>
      </c>
      <c r="S16" s="1">
        <f t="shared" si="0"/>
        <v>0.96382000000000034</v>
      </c>
      <c r="T16" s="2">
        <f t="shared" si="1"/>
        <v>96.382000000000033</v>
      </c>
    </row>
    <row r="17" spans="1:20" x14ac:dyDescent="0.2">
      <c r="A17" t="s">
        <v>614</v>
      </c>
      <c r="D17">
        <v>33.773623999999998</v>
      </c>
      <c r="E17">
        <v>12.585599999999999</v>
      </c>
      <c r="L17" t="s">
        <v>614</v>
      </c>
      <c r="M17">
        <v>0</v>
      </c>
      <c r="N17">
        <v>0</v>
      </c>
      <c r="O17">
        <v>33.773623999999998</v>
      </c>
      <c r="P17">
        <v>12.585599999999999</v>
      </c>
      <c r="Q17">
        <v>21.188023999999999</v>
      </c>
      <c r="R17">
        <v>0</v>
      </c>
      <c r="S17" s="1">
        <f t="shared" si="0"/>
        <v>0.96382000000000034</v>
      </c>
      <c r="T17" s="2">
        <f t="shared" si="1"/>
        <v>96.382000000000033</v>
      </c>
    </row>
    <row r="18" spans="1:20" x14ac:dyDescent="0.2">
      <c r="A18" t="s">
        <v>615</v>
      </c>
      <c r="D18">
        <v>26.521775999999999</v>
      </c>
      <c r="E18">
        <v>10.434099</v>
      </c>
      <c r="L18" t="s">
        <v>615</v>
      </c>
      <c r="M18">
        <v>0</v>
      </c>
      <c r="N18">
        <v>0</v>
      </c>
      <c r="O18">
        <v>26.521775999999999</v>
      </c>
      <c r="P18">
        <v>10.434099</v>
      </c>
      <c r="Q18">
        <v>16.087676999999999</v>
      </c>
      <c r="R18">
        <v>0</v>
      </c>
      <c r="S18" s="1">
        <f t="shared" si="0"/>
        <v>0.96382000000000034</v>
      </c>
      <c r="T18" s="2">
        <f t="shared" si="1"/>
        <v>96.382000000000033</v>
      </c>
    </row>
    <row r="19" spans="1:20" x14ac:dyDescent="0.2">
      <c r="A19" t="s">
        <v>616</v>
      </c>
      <c r="D19">
        <v>17.335025999999999</v>
      </c>
      <c r="E19">
        <v>13.717000000000001</v>
      </c>
      <c r="L19" t="s">
        <v>616</v>
      </c>
      <c r="M19">
        <v>0</v>
      </c>
      <c r="N19">
        <v>3.6179999999999999</v>
      </c>
      <c r="O19">
        <v>17.335025999999999</v>
      </c>
      <c r="P19">
        <v>13.717000000000001</v>
      </c>
      <c r="Q19">
        <v>0</v>
      </c>
      <c r="R19">
        <v>0</v>
      </c>
      <c r="S19" s="1">
        <f t="shared" si="0"/>
        <v>1.0000000000000002</v>
      </c>
      <c r="T19" s="2">
        <f t="shared" si="1"/>
        <v>100.00000000000003</v>
      </c>
    </row>
    <row r="20" spans="1:20" x14ac:dyDescent="0.2">
      <c r="A20" t="s">
        <v>617</v>
      </c>
      <c r="D20">
        <v>4.8848500000000001</v>
      </c>
      <c r="E20">
        <v>11.452</v>
      </c>
      <c r="L20" t="s">
        <v>617</v>
      </c>
      <c r="M20">
        <v>6.5670000000000002</v>
      </c>
      <c r="N20">
        <v>0</v>
      </c>
      <c r="O20">
        <v>4.8848500000000001</v>
      </c>
      <c r="P20">
        <v>11.452</v>
      </c>
      <c r="Q20">
        <v>0</v>
      </c>
      <c r="R20">
        <v>0</v>
      </c>
      <c r="S20" s="1">
        <f t="shared" si="0"/>
        <v>0.93433000000000022</v>
      </c>
      <c r="T20" s="2">
        <f t="shared" si="1"/>
        <v>93.433000000000021</v>
      </c>
    </row>
    <row r="21" spans="1:20" x14ac:dyDescent="0.2">
      <c r="A21" t="s">
        <v>618</v>
      </c>
      <c r="D21">
        <v>7.1300249999999996E-2</v>
      </c>
      <c r="E21">
        <v>12.287233000000001</v>
      </c>
      <c r="L21" t="s">
        <v>618</v>
      </c>
      <c r="M21">
        <v>12.215999999999999</v>
      </c>
      <c r="N21">
        <v>0</v>
      </c>
      <c r="O21">
        <v>7.1300249999999996E-2</v>
      </c>
      <c r="P21">
        <v>12.287233000000001</v>
      </c>
      <c r="Q21">
        <v>0</v>
      </c>
      <c r="R21">
        <v>0</v>
      </c>
      <c r="S21" s="1">
        <f t="shared" si="0"/>
        <v>0.81217000000000028</v>
      </c>
      <c r="T21" s="2">
        <f t="shared" si="1"/>
        <v>81.217000000000027</v>
      </c>
    </row>
    <row r="22" spans="1:20" x14ac:dyDescent="0.2">
      <c r="A22" t="s">
        <v>619</v>
      </c>
      <c r="D22">
        <v>0</v>
      </c>
      <c r="E22">
        <v>12.698650000000001</v>
      </c>
      <c r="L22" t="s">
        <v>619</v>
      </c>
      <c r="M22">
        <v>12.699</v>
      </c>
      <c r="N22">
        <v>0</v>
      </c>
      <c r="O22">
        <v>0</v>
      </c>
      <c r="P22">
        <v>12.698650000000001</v>
      </c>
      <c r="Q22">
        <v>0</v>
      </c>
      <c r="R22">
        <v>0</v>
      </c>
      <c r="S22" s="1">
        <f t="shared" si="0"/>
        <v>0.68518000000000034</v>
      </c>
      <c r="T22" s="2">
        <f t="shared" si="1"/>
        <v>68.518000000000029</v>
      </c>
    </row>
    <row r="23" spans="1:20" x14ac:dyDescent="0.2">
      <c r="A23" t="s">
        <v>620</v>
      </c>
      <c r="D23">
        <v>0</v>
      </c>
      <c r="E23">
        <v>11.2428665</v>
      </c>
      <c r="L23" t="s">
        <v>620</v>
      </c>
      <c r="M23">
        <v>11.243</v>
      </c>
      <c r="N23">
        <v>0</v>
      </c>
      <c r="O23">
        <v>0</v>
      </c>
      <c r="P23">
        <v>11.2428665</v>
      </c>
      <c r="Q23">
        <v>0</v>
      </c>
      <c r="R23">
        <v>0</v>
      </c>
      <c r="S23" s="1">
        <f t="shared" si="0"/>
        <v>0.57275000000000031</v>
      </c>
      <c r="T23" s="2">
        <f t="shared" si="1"/>
        <v>57.275000000000027</v>
      </c>
    </row>
    <row r="24" spans="1:20" x14ac:dyDescent="0.2">
      <c r="A24" t="s">
        <v>621</v>
      </c>
      <c r="D24">
        <v>0</v>
      </c>
      <c r="E24">
        <v>10.652950000000001</v>
      </c>
      <c r="L24" t="s">
        <v>621</v>
      </c>
      <c r="M24">
        <v>10.653</v>
      </c>
      <c r="N24">
        <v>0</v>
      </c>
      <c r="O24">
        <v>0</v>
      </c>
      <c r="P24">
        <v>10.652950000000001</v>
      </c>
      <c r="Q24">
        <v>0</v>
      </c>
      <c r="R24">
        <v>0</v>
      </c>
      <c r="S24" s="1">
        <f t="shared" si="0"/>
        <v>0.4662200000000003</v>
      </c>
      <c r="T24" s="2">
        <f t="shared" si="1"/>
        <v>46.622000000000028</v>
      </c>
    </row>
    <row r="25" spans="1:20" x14ac:dyDescent="0.2">
      <c r="A25" t="s">
        <v>622</v>
      </c>
      <c r="D25">
        <v>0</v>
      </c>
      <c r="E25">
        <v>8.3055669999999999</v>
      </c>
      <c r="L25" t="s">
        <v>622</v>
      </c>
      <c r="M25">
        <v>8.3059999999999992</v>
      </c>
      <c r="N25">
        <v>0</v>
      </c>
      <c r="O25">
        <v>0</v>
      </c>
      <c r="P25">
        <v>8.3055669999999999</v>
      </c>
      <c r="Q25">
        <v>0</v>
      </c>
      <c r="R25">
        <v>0</v>
      </c>
      <c r="S25" s="1">
        <f t="shared" si="0"/>
        <v>0.38316000000000033</v>
      </c>
      <c r="T25" s="2">
        <f t="shared" si="1"/>
        <v>38.316000000000031</v>
      </c>
    </row>
    <row r="26" spans="1:20" x14ac:dyDescent="0.2">
      <c r="A26" t="s">
        <v>623</v>
      </c>
      <c r="D26">
        <v>0</v>
      </c>
      <c r="E26">
        <v>7.1298275000000002</v>
      </c>
      <c r="L26" t="s">
        <v>623</v>
      </c>
      <c r="M26">
        <v>7.13</v>
      </c>
      <c r="N26">
        <v>0</v>
      </c>
      <c r="O26">
        <v>0</v>
      </c>
      <c r="P26">
        <v>7.1298275000000002</v>
      </c>
      <c r="Q26">
        <v>0</v>
      </c>
      <c r="R26">
        <v>0</v>
      </c>
      <c r="S26" s="1">
        <f t="shared" si="0"/>
        <v>0.3118600000000003</v>
      </c>
      <c r="T26" s="2">
        <f t="shared" si="1"/>
        <v>31.186000000000032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X26"/>
  <sheetViews>
    <sheetView workbookViewId="0"/>
  </sheetViews>
  <sheetFormatPr baseColWidth="10" defaultColWidth="8.83203125" defaultRowHeight="15" x14ac:dyDescent="0.2"/>
  <sheetData>
    <row r="1" spans="1:24" x14ac:dyDescent="0.2">
      <c r="A1" t="s">
        <v>0</v>
      </c>
      <c r="D1" t="s">
        <v>1</v>
      </c>
      <c r="L1" t="s">
        <v>2</v>
      </c>
      <c r="R1" t="s">
        <v>3</v>
      </c>
      <c r="S1" s="1">
        <v>0.31186000000000058</v>
      </c>
      <c r="T1">
        <f>S1*V1</f>
        <v>31.186000000000057</v>
      </c>
      <c r="U1" t="s">
        <v>4</v>
      </c>
      <c r="V1">
        <v>100</v>
      </c>
      <c r="W1" t="s">
        <v>5</v>
      </c>
      <c r="X1" s="1">
        <v>0.1</v>
      </c>
    </row>
    <row r="2" spans="1:24" x14ac:dyDescent="0.2">
      <c r="A2" t="s">
        <v>6</v>
      </c>
      <c r="B2" t="s">
        <v>7</v>
      </c>
      <c r="C2" t="s">
        <v>8</v>
      </c>
      <c r="D2" t="s">
        <v>9</v>
      </c>
      <c r="E2" t="s">
        <v>10</v>
      </c>
      <c r="F2" t="s">
        <v>11</v>
      </c>
      <c r="G2" t="s">
        <v>12</v>
      </c>
      <c r="H2" t="s">
        <v>13</v>
      </c>
      <c r="I2" t="s">
        <v>14</v>
      </c>
      <c r="L2" t="s">
        <v>6</v>
      </c>
      <c r="M2" t="s">
        <v>7</v>
      </c>
      <c r="N2" t="s">
        <v>8</v>
      </c>
      <c r="O2" t="s">
        <v>9</v>
      </c>
      <c r="P2" t="s">
        <v>10</v>
      </c>
      <c r="Q2" t="s">
        <v>11</v>
      </c>
      <c r="R2" t="s">
        <v>12</v>
      </c>
      <c r="S2" t="s">
        <v>13</v>
      </c>
      <c r="T2" t="s">
        <v>14</v>
      </c>
      <c r="W2" t="s">
        <v>15</v>
      </c>
      <c r="X2" s="1">
        <v>1</v>
      </c>
    </row>
    <row r="3" spans="1:24" x14ac:dyDescent="0.2">
      <c r="A3" t="s">
        <v>624</v>
      </c>
      <c r="D3">
        <v>0</v>
      </c>
      <c r="E3">
        <v>10.9318495</v>
      </c>
      <c r="L3" t="s">
        <v>624</v>
      </c>
      <c r="M3">
        <v>0</v>
      </c>
      <c r="N3">
        <v>0</v>
      </c>
      <c r="O3">
        <v>0</v>
      </c>
      <c r="P3">
        <v>10.9318495</v>
      </c>
      <c r="Q3">
        <v>0</v>
      </c>
      <c r="R3">
        <v>10.9318495</v>
      </c>
      <c r="S3" s="1">
        <f t="shared" ref="S3:S26" si="0">T3/V$1</f>
        <v>0.31186000000000058</v>
      </c>
      <c r="T3" s="2">
        <f>T1-M3+N3</f>
        <v>31.186000000000057</v>
      </c>
    </row>
    <row r="4" spans="1:24" x14ac:dyDescent="0.2">
      <c r="A4" t="s">
        <v>625</v>
      </c>
      <c r="D4">
        <v>0</v>
      </c>
      <c r="E4">
        <v>10.668950000000001</v>
      </c>
      <c r="L4" t="s">
        <v>625</v>
      </c>
      <c r="M4">
        <v>6.4960000000000004</v>
      </c>
      <c r="N4">
        <v>0</v>
      </c>
      <c r="O4">
        <v>0</v>
      </c>
      <c r="P4">
        <v>10.668950000000001</v>
      </c>
      <c r="Q4">
        <v>0</v>
      </c>
      <c r="R4">
        <v>4.1729500000000002</v>
      </c>
      <c r="S4" s="1">
        <f t="shared" si="0"/>
        <v>0.24690000000000054</v>
      </c>
      <c r="T4" s="2">
        <f t="shared" ref="T4:T26" si="1">T3-M4+N4</f>
        <v>24.690000000000055</v>
      </c>
    </row>
    <row r="5" spans="1:24" x14ac:dyDescent="0.2">
      <c r="A5" t="s">
        <v>626</v>
      </c>
      <c r="D5">
        <v>0</v>
      </c>
      <c r="E5">
        <v>10.40605</v>
      </c>
      <c r="L5" t="s">
        <v>626</v>
      </c>
      <c r="M5">
        <v>0</v>
      </c>
      <c r="N5">
        <v>0</v>
      </c>
      <c r="O5">
        <v>0</v>
      </c>
      <c r="P5">
        <v>10.40605</v>
      </c>
      <c r="Q5">
        <v>0</v>
      </c>
      <c r="R5">
        <v>10.40605</v>
      </c>
      <c r="S5" s="1">
        <f t="shared" si="0"/>
        <v>0.24690000000000054</v>
      </c>
      <c r="T5" s="2">
        <f t="shared" si="1"/>
        <v>24.690000000000055</v>
      </c>
    </row>
    <row r="6" spans="1:24" x14ac:dyDescent="0.2">
      <c r="A6" t="s">
        <v>627</v>
      </c>
      <c r="D6">
        <v>0</v>
      </c>
      <c r="E6">
        <v>9.2257759999999998</v>
      </c>
      <c r="L6" t="s">
        <v>627</v>
      </c>
      <c r="M6">
        <v>0</v>
      </c>
      <c r="N6">
        <v>0</v>
      </c>
      <c r="O6">
        <v>0</v>
      </c>
      <c r="P6">
        <v>9.2257759999999998</v>
      </c>
      <c r="Q6">
        <v>0</v>
      </c>
      <c r="R6">
        <v>9.2257759999999998</v>
      </c>
      <c r="S6" s="1">
        <f t="shared" si="0"/>
        <v>0.24690000000000054</v>
      </c>
      <c r="T6" s="2">
        <f t="shared" si="1"/>
        <v>24.690000000000055</v>
      </c>
      <c r="V6" t="s">
        <v>20</v>
      </c>
      <c r="W6" t="s">
        <v>628</v>
      </c>
    </row>
    <row r="7" spans="1:24" x14ac:dyDescent="0.2">
      <c r="A7" t="s">
        <v>629</v>
      </c>
      <c r="D7">
        <v>0</v>
      </c>
      <c r="E7">
        <v>7.7417335999999999</v>
      </c>
      <c r="L7" t="s">
        <v>629</v>
      </c>
      <c r="M7">
        <v>0</v>
      </c>
      <c r="N7">
        <v>0</v>
      </c>
      <c r="O7">
        <v>0</v>
      </c>
      <c r="P7">
        <v>7.7417335999999999</v>
      </c>
      <c r="Q7">
        <v>0</v>
      </c>
      <c r="R7">
        <v>7.7417335999999999</v>
      </c>
      <c r="S7" s="1">
        <f t="shared" si="0"/>
        <v>0.24690000000000054</v>
      </c>
      <c r="T7" s="2">
        <f t="shared" si="1"/>
        <v>24.690000000000055</v>
      </c>
      <c r="V7" t="s">
        <v>23</v>
      </c>
      <c r="W7" t="s">
        <v>127</v>
      </c>
    </row>
    <row r="8" spans="1:24" x14ac:dyDescent="0.2">
      <c r="A8" t="s">
        <v>630</v>
      </c>
      <c r="D8">
        <v>0</v>
      </c>
      <c r="E8">
        <v>7.7641999999999998</v>
      </c>
      <c r="L8" t="s">
        <v>630</v>
      </c>
      <c r="M8">
        <v>0</v>
      </c>
      <c r="N8">
        <v>0</v>
      </c>
      <c r="O8">
        <v>0</v>
      </c>
      <c r="P8">
        <v>7.7641999999999998</v>
      </c>
      <c r="Q8">
        <v>0</v>
      </c>
      <c r="R8">
        <v>7.7641999999999998</v>
      </c>
      <c r="S8" s="1">
        <f t="shared" si="0"/>
        <v>0.24690000000000054</v>
      </c>
      <c r="T8" s="2">
        <f t="shared" si="1"/>
        <v>24.690000000000055</v>
      </c>
      <c r="V8" t="s">
        <v>26</v>
      </c>
      <c r="W8">
        <v>8.3000000000000004E-2</v>
      </c>
    </row>
    <row r="9" spans="1:24" x14ac:dyDescent="0.2">
      <c r="A9" t="s">
        <v>631</v>
      </c>
      <c r="D9">
        <v>0</v>
      </c>
      <c r="E9">
        <v>8.0772999999999993</v>
      </c>
      <c r="L9" t="s">
        <v>631</v>
      </c>
      <c r="M9">
        <v>8.077</v>
      </c>
      <c r="N9">
        <v>0</v>
      </c>
      <c r="O9">
        <v>0</v>
      </c>
      <c r="P9">
        <v>8.0772999999999993</v>
      </c>
      <c r="Q9">
        <v>0</v>
      </c>
      <c r="R9">
        <v>0</v>
      </c>
      <c r="S9" s="1">
        <f t="shared" si="0"/>
        <v>0.16613000000000056</v>
      </c>
      <c r="T9" s="2">
        <f t="shared" si="1"/>
        <v>16.613000000000056</v>
      </c>
      <c r="V9" t="s">
        <v>28</v>
      </c>
      <c r="W9">
        <f>W8/60</f>
        <v>1.3833333333333334E-3</v>
      </c>
    </row>
    <row r="10" spans="1:24" x14ac:dyDescent="0.2">
      <c r="A10" t="s">
        <v>632</v>
      </c>
      <c r="D10">
        <v>0.27152488000000002</v>
      </c>
      <c r="E10">
        <v>6.8845333999999996</v>
      </c>
      <c r="L10" t="s">
        <v>632</v>
      </c>
      <c r="M10">
        <v>6.6130000000000004</v>
      </c>
      <c r="N10">
        <v>0</v>
      </c>
      <c r="O10">
        <v>0.27152488000000002</v>
      </c>
      <c r="P10">
        <v>6.8845333999999996</v>
      </c>
      <c r="Q10">
        <v>0</v>
      </c>
      <c r="R10">
        <v>0</v>
      </c>
      <c r="S10" s="1">
        <f t="shared" si="0"/>
        <v>0.10000000000000057</v>
      </c>
      <c r="T10" s="2">
        <f t="shared" si="1"/>
        <v>10.000000000000057</v>
      </c>
    </row>
    <row r="11" spans="1:24" x14ac:dyDescent="0.2">
      <c r="A11" t="s">
        <v>633</v>
      </c>
      <c r="D11">
        <v>6.7748002999999999</v>
      </c>
      <c r="E11">
        <v>9.5467999999999993</v>
      </c>
      <c r="L11" t="s">
        <v>633</v>
      </c>
      <c r="M11">
        <v>0</v>
      </c>
      <c r="N11">
        <v>0</v>
      </c>
      <c r="O11">
        <v>6.7748002999999999</v>
      </c>
      <c r="P11">
        <v>9.5467999999999993</v>
      </c>
      <c r="Q11">
        <v>0</v>
      </c>
      <c r="R11">
        <v>2.771999699999999</v>
      </c>
      <c r="S11" s="1">
        <f t="shared" si="0"/>
        <v>0.10000000000000057</v>
      </c>
      <c r="T11" s="2">
        <f t="shared" si="1"/>
        <v>10.000000000000057</v>
      </c>
    </row>
    <row r="12" spans="1:24" x14ac:dyDescent="0.2">
      <c r="A12" t="s">
        <v>634</v>
      </c>
      <c r="D12">
        <v>25.22925</v>
      </c>
      <c r="E12">
        <v>10.693951</v>
      </c>
      <c r="L12" t="s">
        <v>634</v>
      </c>
      <c r="M12">
        <v>0</v>
      </c>
      <c r="N12">
        <v>0</v>
      </c>
      <c r="O12">
        <v>25.22925</v>
      </c>
      <c r="P12">
        <v>10.693951</v>
      </c>
      <c r="Q12">
        <v>14.535299</v>
      </c>
      <c r="R12">
        <v>0</v>
      </c>
      <c r="S12" s="1">
        <f t="shared" si="0"/>
        <v>0.10000000000000057</v>
      </c>
      <c r="T12" s="2">
        <f t="shared" si="1"/>
        <v>10.000000000000057</v>
      </c>
    </row>
    <row r="13" spans="1:24" x14ac:dyDescent="0.2">
      <c r="A13" t="s">
        <v>635</v>
      </c>
      <c r="D13">
        <v>34.659775000000003</v>
      </c>
      <c r="E13">
        <v>10.9893</v>
      </c>
      <c r="L13" t="s">
        <v>635</v>
      </c>
      <c r="M13">
        <v>0</v>
      </c>
      <c r="N13">
        <v>23.67</v>
      </c>
      <c r="O13">
        <v>34.659775000000003</v>
      </c>
      <c r="P13">
        <v>10.9893</v>
      </c>
      <c r="Q13">
        <v>0</v>
      </c>
      <c r="R13">
        <v>0</v>
      </c>
      <c r="S13" s="1">
        <f t="shared" si="0"/>
        <v>0.33670000000000061</v>
      </c>
      <c r="T13" s="2">
        <f t="shared" si="1"/>
        <v>33.670000000000059</v>
      </c>
    </row>
    <row r="14" spans="1:24" x14ac:dyDescent="0.2">
      <c r="A14" t="s">
        <v>636</v>
      </c>
      <c r="D14">
        <v>39.718400000000003</v>
      </c>
      <c r="E14">
        <v>12.044</v>
      </c>
      <c r="L14" t="s">
        <v>636</v>
      </c>
      <c r="M14">
        <v>0</v>
      </c>
      <c r="N14">
        <v>0</v>
      </c>
      <c r="O14">
        <v>39.718400000000003</v>
      </c>
      <c r="P14">
        <v>12.044</v>
      </c>
      <c r="Q14">
        <v>27.674399999999999</v>
      </c>
      <c r="R14">
        <v>0</v>
      </c>
      <c r="S14" s="1">
        <f t="shared" si="0"/>
        <v>0.33670000000000061</v>
      </c>
      <c r="T14" s="2">
        <f t="shared" si="1"/>
        <v>33.670000000000059</v>
      </c>
    </row>
    <row r="15" spans="1:24" x14ac:dyDescent="0.2">
      <c r="A15" t="s">
        <v>637</v>
      </c>
      <c r="D15">
        <v>40.902250000000002</v>
      </c>
      <c r="E15">
        <v>9.8559009999999994</v>
      </c>
      <c r="L15" t="s">
        <v>637</v>
      </c>
      <c r="M15">
        <v>0</v>
      </c>
      <c r="N15">
        <v>31.045999999999999</v>
      </c>
      <c r="O15">
        <v>40.902250000000002</v>
      </c>
      <c r="P15">
        <v>9.8559009999999994</v>
      </c>
      <c r="Q15">
        <v>0</v>
      </c>
      <c r="R15">
        <v>0</v>
      </c>
      <c r="S15" s="1">
        <f t="shared" si="0"/>
        <v>0.64716000000000062</v>
      </c>
      <c r="T15" s="2">
        <f t="shared" si="1"/>
        <v>64.716000000000065</v>
      </c>
    </row>
    <row r="16" spans="1:24" x14ac:dyDescent="0.2">
      <c r="A16" t="s">
        <v>638</v>
      </c>
      <c r="D16">
        <v>41.448500000000003</v>
      </c>
      <c r="E16">
        <v>12.621900999999999</v>
      </c>
      <c r="L16" t="s">
        <v>638</v>
      </c>
      <c r="M16">
        <v>0</v>
      </c>
      <c r="N16">
        <v>28.827000000000002</v>
      </c>
      <c r="O16">
        <v>41.448500000000003</v>
      </c>
      <c r="P16">
        <v>12.621900999999999</v>
      </c>
      <c r="Q16">
        <v>0</v>
      </c>
      <c r="R16">
        <v>0</v>
      </c>
      <c r="S16" s="1">
        <f t="shared" si="0"/>
        <v>0.93543000000000065</v>
      </c>
      <c r="T16" s="2">
        <f t="shared" si="1"/>
        <v>93.543000000000063</v>
      </c>
    </row>
    <row r="17" spans="1:20" x14ac:dyDescent="0.2">
      <c r="A17" t="s">
        <v>639</v>
      </c>
      <c r="D17">
        <v>38.066273000000002</v>
      </c>
      <c r="E17">
        <v>11.586866000000001</v>
      </c>
      <c r="L17" t="s">
        <v>639</v>
      </c>
      <c r="M17">
        <v>0</v>
      </c>
      <c r="N17">
        <v>0</v>
      </c>
      <c r="O17">
        <v>38.066273000000002</v>
      </c>
      <c r="P17">
        <v>11.586866000000001</v>
      </c>
      <c r="Q17">
        <v>26.479406999999998</v>
      </c>
      <c r="R17">
        <v>0</v>
      </c>
      <c r="S17" s="1">
        <f t="shared" si="0"/>
        <v>0.93543000000000065</v>
      </c>
      <c r="T17" s="2">
        <f t="shared" si="1"/>
        <v>93.543000000000063</v>
      </c>
    </row>
    <row r="18" spans="1:20" x14ac:dyDescent="0.2">
      <c r="A18" t="s">
        <v>640</v>
      </c>
      <c r="D18">
        <v>31.194675</v>
      </c>
      <c r="E18">
        <v>10.065666999999999</v>
      </c>
      <c r="L18" t="s">
        <v>640</v>
      </c>
      <c r="M18">
        <v>0</v>
      </c>
      <c r="N18">
        <v>6.4569999999999999</v>
      </c>
      <c r="O18">
        <v>31.194675</v>
      </c>
      <c r="P18">
        <v>10.065666999999999</v>
      </c>
      <c r="Q18">
        <v>14.672008</v>
      </c>
      <c r="R18">
        <v>0</v>
      </c>
      <c r="S18" s="1">
        <f t="shared" si="0"/>
        <v>1.0000000000000007</v>
      </c>
      <c r="T18" s="2">
        <f t="shared" si="1"/>
        <v>100.00000000000006</v>
      </c>
    </row>
    <row r="19" spans="1:20" x14ac:dyDescent="0.2">
      <c r="A19" t="s">
        <v>641</v>
      </c>
      <c r="D19">
        <v>19.646801</v>
      </c>
      <c r="E19">
        <v>11.293900499999999</v>
      </c>
      <c r="L19" t="s">
        <v>641</v>
      </c>
      <c r="M19">
        <v>0</v>
      </c>
      <c r="N19">
        <v>0</v>
      </c>
      <c r="O19">
        <v>19.646801</v>
      </c>
      <c r="P19">
        <v>11.293900499999999</v>
      </c>
      <c r="Q19">
        <v>8.3529005000000005</v>
      </c>
      <c r="R19">
        <v>0</v>
      </c>
      <c r="S19" s="1">
        <f t="shared" si="0"/>
        <v>1.0000000000000007</v>
      </c>
      <c r="T19" s="2">
        <f t="shared" si="1"/>
        <v>100.00000000000006</v>
      </c>
    </row>
    <row r="20" spans="1:20" x14ac:dyDescent="0.2">
      <c r="A20" t="s">
        <v>642</v>
      </c>
      <c r="D20">
        <v>5.7095757000000003</v>
      </c>
      <c r="E20">
        <v>12.0953</v>
      </c>
      <c r="L20" t="s">
        <v>642</v>
      </c>
      <c r="M20">
        <v>6.3860000000000001</v>
      </c>
      <c r="N20">
        <v>0</v>
      </c>
      <c r="O20">
        <v>5.7095757000000003</v>
      </c>
      <c r="P20">
        <v>12.0953</v>
      </c>
      <c r="Q20">
        <v>0</v>
      </c>
      <c r="R20">
        <v>0</v>
      </c>
      <c r="S20" s="1">
        <f t="shared" si="0"/>
        <v>0.93614000000000064</v>
      </c>
      <c r="T20" s="2">
        <f t="shared" si="1"/>
        <v>93.614000000000061</v>
      </c>
    </row>
    <row r="21" spans="1:20" x14ac:dyDescent="0.2">
      <c r="A21" t="s">
        <v>643</v>
      </c>
      <c r="D21">
        <v>3.8449664000000001E-2</v>
      </c>
      <c r="E21">
        <v>11.479875</v>
      </c>
      <c r="L21" t="s">
        <v>643</v>
      </c>
      <c r="M21">
        <v>11.441000000000001</v>
      </c>
      <c r="N21">
        <v>0</v>
      </c>
      <c r="O21">
        <v>3.8449664000000001E-2</v>
      </c>
      <c r="P21">
        <v>11.479875</v>
      </c>
      <c r="Q21">
        <v>0</v>
      </c>
      <c r="R21">
        <v>0</v>
      </c>
      <c r="S21" s="1">
        <f t="shared" si="0"/>
        <v>0.82173000000000063</v>
      </c>
      <c r="T21" s="2">
        <f t="shared" si="1"/>
        <v>82.173000000000059</v>
      </c>
    </row>
    <row r="22" spans="1:20" x14ac:dyDescent="0.2">
      <c r="A22" t="s">
        <v>644</v>
      </c>
      <c r="D22">
        <v>0</v>
      </c>
      <c r="E22">
        <v>8.0352999999999994</v>
      </c>
      <c r="L22" t="s">
        <v>644</v>
      </c>
      <c r="M22">
        <v>8.0350000000000001</v>
      </c>
      <c r="N22">
        <v>0</v>
      </c>
      <c r="O22">
        <v>0</v>
      </c>
      <c r="P22">
        <v>8.0352999999999994</v>
      </c>
      <c r="Q22">
        <v>0</v>
      </c>
      <c r="R22">
        <v>0</v>
      </c>
      <c r="S22" s="1">
        <f t="shared" si="0"/>
        <v>0.74138000000000059</v>
      </c>
      <c r="T22" s="2">
        <f t="shared" si="1"/>
        <v>74.138000000000062</v>
      </c>
    </row>
    <row r="23" spans="1:20" x14ac:dyDescent="0.2">
      <c r="A23" t="s">
        <v>645</v>
      </c>
      <c r="D23">
        <v>0</v>
      </c>
      <c r="E23">
        <v>11.52355</v>
      </c>
      <c r="L23" t="s">
        <v>645</v>
      </c>
      <c r="M23">
        <v>11.523999999999999</v>
      </c>
      <c r="N23">
        <v>0</v>
      </c>
      <c r="O23">
        <v>0</v>
      </c>
      <c r="P23">
        <v>11.52355</v>
      </c>
      <c r="Q23">
        <v>0</v>
      </c>
      <c r="R23">
        <v>0</v>
      </c>
      <c r="S23" s="1">
        <f t="shared" si="0"/>
        <v>0.62614000000000058</v>
      </c>
      <c r="T23" s="2">
        <f t="shared" si="1"/>
        <v>62.614000000000061</v>
      </c>
    </row>
    <row r="24" spans="1:20" x14ac:dyDescent="0.2">
      <c r="A24" t="s">
        <v>646</v>
      </c>
      <c r="D24">
        <v>0</v>
      </c>
      <c r="E24">
        <v>11.3118</v>
      </c>
      <c r="L24" t="s">
        <v>646</v>
      </c>
      <c r="M24">
        <v>11.311999999999999</v>
      </c>
      <c r="N24">
        <v>0</v>
      </c>
      <c r="O24">
        <v>0</v>
      </c>
      <c r="P24">
        <v>11.3118</v>
      </c>
      <c r="Q24">
        <v>0</v>
      </c>
      <c r="R24">
        <v>0</v>
      </c>
      <c r="S24" s="1">
        <f t="shared" si="0"/>
        <v>0.51302000000000059</v>
      </c>
      <c r="T24" s="2">
        <f t="shared" si="1"/>
        <v>51.302000000000064</v>
      </c>
    </row>
    <row r="25" spans="1:20" x14ac:dyDescent="0.2">
      <c r="A25" t="s">
        <v>647</v>
      </c>
      <c r="D25">
        <v>0</v>
      </c>
      <c r="E25">
        <v>11.42995</v>
      </c>
      <c r="L25" t="s">
        <v>647</v>
      </c>
      <c r="M25">
        <v>11.43</v>
      </c>
      <c r="N25">
        <v>0</v>
      </c>
      <c r="O25">
        <v>0</v>
      </c>
      <c r="P25">
        <v>11.42995</v>
      </c>
      <c r="Q25">
        <v>0</v>
      </c>
      <c r="R25">
        <v>0</v>
      </c>
      <c r="S25" s="1">
        <f t="shared" si="0"/>
        <v>0.39872000000000063</v>
      </c>
      <c r="T25" s="2">
        <f t="shared" si="1"/>
        <v>39.872000000000064</v>
      </c>
    </row>
    <row r="26" spans="1:20" x14ac:dyDescent="0.2">
      <c r="A26" t="s">
        <v>648</v>
      </c>
      <c r="D26">
        <v>0</v>
      </c>
      <c r="E26">
        <v>10.1341</v>
      </c>
      <c r="L26" t="s">
        <v>648</v>
      </c>
      <c r="M26">
        <v>10.134</v>
      </c>
      <c r="N26">
        <v>0</v>
      </c>
      <c r="O26">
        <v>0</v>
      </c>
      <c r="P26">
        <v>10.1341</v>
      </c>
      <c r="Q26">
        <v>0</v>
      </c>
      <c r="R26">
        <v>0</v>
      </c>
      <c r="S26" s="1">
        <f t="shared" si="0"/>
        <v>0.29738000000000064</v>
      </c>
      <c r="T26" s="2">
        <f t="shared" si="1"/>
        <v>29.738000000000063</v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X26"/>
  <sheetViews>
    <sheetView workbookViewId="0"/>
  </sheetViews>
  <sheetFormatPr baseColWidth="10" defaultColWidth="8.83203125" defaultRowHeight="15" x14ac:dyDescent="0.2"/>
  <sheetData>
    <row r="1" spans="1:24" x14ac:dyDescent="0.2">
      <c r="A1" t="s">
        <v>0</v>
      </c>
      <c r="D1" t="s">
        <v>1</v>
      </c>
      <c r="L1" t="s">
        <v>2</v>
      </c>
      <c r="R1" t="s">
        <v>3</v>
      </c>
      <c r="S1" s="1">
        <v>0.29738000000000081</v>
      </c>
      <c r="T1">
        <f>S1*V1</f>
        <v>29.738000000000081</v>
      </c>
      <c r="U1" t="s">
        <v>4</v>
      </c>
      <c r="V1">
        <v>100</v>
      </c>
      <c r="W1" t="s">
        <v>5</v>
      </c>
      <c r="X1" s="1">
        <v>0.1</v>
      </c>
    </row>
    <row r="2" spans="1:24" x14ac:dyDescent="0.2">
      <c r="A2" t="s">
        <v>6</v>
      </c>
      <c r="B2" t="s">
        <v>7</v>
      </c>
      <c r="C2" t="s">
        <v>8</v>
      </c>
      <c r="D2" t="s">
        <v>9</v>
      </c>
      <c r="E2" t="s">
        <v>10</v>
      </c>
      <c r="F2" t="s">
        <v>11</v>
      </c>
      <c r="G2" t="s">
        <v>12</v>
      </c>
      <c r="H2" t="s">
        <v>13</v>
      </c>
      <c r="I2" t="s">
        <v>14</v>
      </c>
      <c r="L2" t="s">
        <v>6</v>
      </c>
      <c r="M2" t="s">
        <v>7</v>
      </c>
      <c r="N2" t="s">
        <v>8</v>
      </c>
      <c r="O2" t="s">
        <v>9</v>
      </c>
      <c r="P2" t="s">
        <v>10</v>
      </c>
      <c r="Q2" t="s">
        <v>11</v>
      </c>
      <c r="R2" t="s">
        <v>12</v>
      </c>
      <c r="S2" t="s">
        <v>13</v>
      </c>
      <c r="T2" t="s">
        <v>14</v>
      </c>
      <c r="W2" t="s">
        <v>15</v>
      </c>
      <c r="X2" s="1">
        <v>1</v>
      </c>
    </row>
    <row r="3" spans="1:24" x14ac:dyDescent="0.2">
      <c r="A3" t="s">
        <v>649</v>
      </c>
      <c r="D3">
        <v>0</v>
      </c>
      <c r="E3">
        <v>8.8382500000000004</v>
      </c>
      <c r="L3" t="s">
        <v>649</v>
      </c>
      <c r="M3">
        <v>0</v>
      </c>
      <c r="N3">
        <v>0</v>
      </c>
      <c r="O3">
        <v>0</v>
      </c>
      <c r="P3">
        <v>8.8382500000000004</v>
      </c>
      <c r="Q3">
        <v>0</v>
      </c>
      <c r="R3">
        <v>8.8382500000000004</v>
      </c>
      <c r="S3" s="1">
        <f t="shared" ref="S3:S26" si="0">T3/V$1</f>
        <v>0.29738000000000081</v>
      </c>
      <c r="T3" s="2">
        <f>T1-M3+N3</f>
        <v>29.738000000000081</v>
      </c>
    </row>
    <row r="4" spans="1:24" x14ac:dyDescent="0.2">
      <c r="A4" t="s">
        <v>650</v>
      </c>
      <c r="D4">
        <v>0</v>
      </c>
      <c r="E4">
        <v>9.0855999999999995</v>
      </c>
      <c r="L4" t="s">
        <v>650</v>
      </c>
      <c r="M4">
        <v>0</v>
      </c>
      <c r="N4">
        <v>0</v>
      </c>
      <c r="O4">
        <v>0</v>
      </c>
      <c r="P4">
        <v>9.0855999999999995</v>
      </c>
      <c r="Q4">
        <v>0</v>
      </c>
      <c r="R4">
        <v>9.0855999999999995</v>
      </c>
      <c r="S4" s="1">
        <f t="shared" si="0"/>
        <v>0.29738000000000081</v>
      </c>
      <c r="T4" s="2">
        <f t="shared" ref="T4:T26" si="1">T3-M4+N4</f>
        <v>29.738000000000081</v>
      </c>
    </row>
    <row r="5" spans="1:24" x14ac:dyDescent="0.2">
      <c r="A5" t="s">
        <v>651</v>
      </c>
      <c r="D5">
        <v>0</v>
      </c>
      <c r="E5">
        <v>9.0358999999999998</v>
      </c>
      <c r="L5" t="s">
        <v>651</v>
      </c>
      <c r="M5">
        <v>9.0359999999999996</v>
      </c>
      <c r="N5">
        <v>0</v>
      </c>
      <c r="O5">
        <v>0</v>
      </c>
      <c r="P5">
        <v>9.0358999999999998</v>
      </c>
      <c r="Q5">
        <v>0</v>
      </c>
      <c r="R5">
        <v>0</v>
      </c>
      <c r="S5" s="1">
        <f t="shared" si="0"/>
        <v>0.20702000000000084</v>
      </c>
      <c r="T5" s="2">
        <f t="shared" si="1"/>
        <v>20.702000000000083</v>
      </c>
    </row>
    <row r="6" spans="1:24" x14ac:dyDescent="0.2">
      <c r="A6" t="s">
        <v>652</v>
      </c>
      <c r="D6">
        <v>0</v>
      </c>
      <c r="E6">
        <v>7.8971</v>
      </c>
      <c r="L6" t="s">
        <v>652</v>
      </c>
      <c r="M6">
        <v>0</v>
      </c>
      <c r="N6">
        <v>0</v>
      </c>
      <c r="O6">
        <v>0</v>
      </c>
      <c r="P6">
        <v>7.8971</v>
      </c>
      <c r="Q6">
        <v>0</v>
      </c>
      <c r="R6">
        <v>7.8971</v>
      </c>
      <c r="S6" s="1">
        <f t="shared" si="0"/>
        <v>0.20702000000000084</v>
      </c>
      <c r="T6" s="2">
        <f t="shared" si="1"/>
        <v>20.702000000000083</v>
      </c>
      <c r="V6" t="s">
        <v>20</v>
      </c>
      <c r="W6" t="s">
        <v>653</v>
      </c>
    </row>
    <row r="7" spans="1:24" x14ac:dyDescent="0.2">
      <c r="A7" t="s">
        <v>654</v>
      </c>
      <c r="D7">
        <v>0</v>
      </c>
      <c r="E7">
        <v>6.9244503999999996</v>
      </c>
      <c r="L7" t="s">
        <v>654</v>
      </c>
      <c r="M7">
        <v>3.9079999999999999</v>
      </c>
      <c r="N7">
        <v>0</v>
      </c>
      <c r="O7">
        <v>0</v>
      </c>
      <c r="P7">
        <v>6.9244503999999996</v>
      </c>
      <c r="Q7">
        <v>0</v>
      </c>
      <c r="R7">
        <v>3.0164504000000001</v>
      </c>
      <c r="S7" s="1">
        <f t="shared" si="0"/>
        <v>0.16794000000000081</v>
      </c>
      <c r="T7" s="2">
        <f t="shared" si="1"/>
        <v>16.794000000000082</v>
      </c>
      <c r="V7" t="s">
        <v>23</v>
      </c>
      <c r="W7" t="s">
        <v>24</v>
      </c>
    </row>
    <row r="8" spans="1:24" x14ac:dyDescent="0.2">
      <c r="A8" t="s">
        <v>655</v>
      </c>
      <c r="D8">
        <v>0</v>
      </c>
      <c r="E8">
        <v>6.7938000000000001</v>
      </c>
      <c r="L8" t="s">
        <v>655</v>
      </c>
      <c r="M8">
        <v>6.7939999999999996</v>
      </c>
      <c r="N8">
        <v>0</v>
      </c>
      <c r="O8">
        <v>0</v>
      </c>
      <c r="P8">
        <v>6.7938000000000001</v>
      </c>
      <c r="Q8">
        <v>0</v>
      </c>
      <c r="R8">
        <v>0</v>
      </c>
      <c r="S8" s="1">
        <f t="shared" si="0"/>
        <v>0.10000000000000081</v>
      </c>
      <c r="T8" s="2">
        <f t="shared" si="1"/>
        <v>10.000000000000082</v>
      </c>
      <c r="V8" t="s">
        <v>26</v>
      </c>
      <c r="W8">
        <v>8.2000000000000003E-2</v>
      </c>
    </row>
    <row r="9" spans="1:24" x14ac:dyDescent="0.2">
      <c r="A9" t="s">
        <v>656</v>
      </c>
      <c r="D9">
        <v>0</v>
      </c>
      <c r="E9">
        <v>6.1018169999999996</v>
      </c>
      <c r="L9" t="s">
        <v>656</v>
      </c>
      <c r="M9">
        <v>0</v>
      </c>
      <c r="N9">
        <v>0</v>
      </c>
      <c r="O9">
        <v>0</v>
      </c>
      <c r="P9">
        <v>6.1018169999999996</v>
      </c>
      <c r="Q9">
        <v>0</v>
      </c>
      <c r="R9">
        <v>6.1018169999999996</v>
      </c>
      <c r="S9" s="1">
        <f t="shared" si="0"/>
        <v>0.10000000000000081</v>
      </c>
      <c r="T9" s="2">
        <f t="shared" si="1"/>
        <v>10.000000000000082</v>
      </c>
      <c r="V9" t="s">
        <v>28</v>
      </c>
      <c r="W9">
        <f>W8/60</f>
        <v>1.3666666666666666E-3</v>
      </c>
    </row>
    <row r="10" spans="1:24" x14ac:dyDescent="0.2">
      <c r="A10" t="s">
        <v>657</v>
      </c>
      <c r="D10">
        <v>0.21805121999999999</v>
      </c>
      <c r="E10">
        <v>6.9912995999999996</v>
      </c>
      <c r="L10" t="s">
        <v>657</v>
      </c>
      <c r="M10">
        <v>0</v>
      </c>
      <c r="N10">
        <v>0</v>
      </c>
      <c r="O10">
        <v>0.21805121999999999</v>
      </c>
      <c r="P10">
        <v>6.9912995999999996</v>
      </c>
      <c r="Q10">
        <v>0</v>
      </c>
      <c r="R10">
        <v>6.7732483800000001</v>
      </c>
      <c r="S10" s="1">
        <f t="shared" si="0"/>
        <v>0.10000000000000081</v>
      </c>
      <c r="T10" s="2">
        <f t="shared" si="1"/>
        <v>10.000000000000082</v>
      </c>
    </row>
    <row r="11" spans="1:24" x14ac:dyDescent="0.2">
      <c r="A11" t="s">
        <v>658</v>
      </c>
      <c r="D11">
        <v>5.3805756999999996</v>
      </c>
      <c r="E11">
        <v>6.9365329999999998</v>
      </c>
      <c r="L11" t="s">
        <v>658</v>
      </c>
      <c r="M11">
        <v>0</v>
      </c>
      <c r="N11">
        <v>0</v>
      </c>
      <c r="O11">
        <v>5.3805756999999996</v>
      </c>
      <c r="P11">
        <v>6.9365329999999998</v>
      </c>
      <c r="Q11">
        <v>0</v>
      </c>
      <c r="R11">
        <v>1.5559573</v>
      </c>
      <c r="S11" s="1">
        <f t="shared" si="0"/>
        <v>0.10000000000000081</v>
      </c>
      <c r="T11" s="2">
        <f t="shared" si="1"/>
        <v>10.000000000000082</v>
      </c>
    </row>
    <row r="12" spans="1:24" x14ac:dyDescent="0.2">
      <c r="A12" t="s">
        <v>659</v>
      </c>
      <c r="D12">
        <v>22.6995</v>
      </c>
      <c r="E12">
        <v>6.9472500000000004</v>
      </c>
      <c r="L12" t="s">
        <v>659</v>
      </c>
      <c r="M12">
        <v>0</v>
      </c>
      <c r="N12">
        <v>15.752000000000001</v>
      </c>
      <c r="O12">
        <v>22.6995</v>
      </c>
      <c r="P12">
        <v>6.9472500000000004</v>
      </c>
      <c r="Q12">
        <v>0</v>
      </c>
      <c r="R12">
        <v>0</v>
      </c>
      <c r="S12" s="1">
        <f t="shared" si="0"/>
        <v>0.2575200000000008</v>
      </c>
      <c r="T12" s="2">
        <f t="shared" si="1"/>
        <v>25.752000000000081</v>
      </c>
    </row>
    <row r="13" spans="1:24" x14ac:dyDescent="0.2">
      <c r="A13" t="s">
        <v>660</v>
      </c>
      <c r="D13">
        <v>33.137225999999998</v>
      </c>
      <c r="E13">
        <v>11.61445</v>
      </c>
      <c r="L13" t="s">
        <v>660</v>
      </c>
      <c r="M13">
        <v>0</v>
      </c>
      <c r="N13">
        <v>21.523</v>
      </c>
      <c r="O13">
        <v>33.137225999999998</v>
      </c>
      <c r="P13">
        <v>11.61445</v>
      </c>
      <c r="Q13">
        <v>0</v>
      </c>
      <c r="R13">
        <v>0</v>
      </c>
      <c r="S13" s="1">
        <f t="shared" si="0"/>
        <v>0.47275000000000078</v>
      </c>
      <c r="T13" s="2">
        <f t="shared" si="1"/>
        <v>47.275000000000077</v>
      </c>
    </row>
    <row r="14" spans="1:24" x14ac:dyDescent="0.2">
      <c r="A14" t="s">
        <v>661</v>
      </c>
      <c r="D14">
        <v>38.857050000000001</v>
      </c>
      <c r="E14">
        <v>10.5738</v>
      </c>
      <c r="L14" t="s">
        <v>661</v>
      </c>
      <c r="M14">
        <v>0</v>
      </c>
      <c r="N14">
        <v>28.283000000000001</v>
      </c>
      <c r="O14">
        <v>38.857050000000001</v>
      </c>
      <c r="P14">
        <v>10.5738</v>
      </c>
      <c r="Q14">
        <v>0</v>
      </c>
      <c r="R14">
        <v>0</v>
      </c>
      <c r="S14" s="1">
        <f t="shared" si="0"/>
        <v>0.75558000000000081</v>
      </c>
      <c r="T14" s="2">
        <f t="shared" si="1"/>
        <v>75.558000000000078</v>
      </c>
    </row>
    <row r="15" spans="1:24" x14ac:dyDescent="0.2">
      <c r="A15" t="s">
        <v>662</v>
      </c>
      <c r="D15">
        <v>36.17915</v>
      </c>
      <c r="E15">
        <v>11.073</v>
      </c>
      <c r="L15" t="s">
        <v>662</v>
      </c>
      <c r="M15">
        <v>0</v>
      </c>
      <c r="N15">
        <v>6.66</v>
      </c>
      <c r="O15">
        <v>36.17915</v>
      </c>
      <c r="P15">
        <v>11.073</v>
      </c>
      <c r="Q15">
        <v>18.446149999999999</v>
      </c>
      <c r="R15">
        <v>0</v>
      </c>
      <c r="S15" s="1">
        <f t="shared" si="0"/>
        <v>0.8221800000000008</v>
      </c>
      <c r="T15" s="2">
        <f t="shared" si="1"/>
        <v>82.218000000000075</v>
      </c>
    </row>
    <row r="16" spans="1:24" x14ac:dyDescent="0.2">
      <c r="A16" t="s">
        <v>663</v>
      </c>
      <c r="D16">
        <v>37.798650000000002</v>
      </c>
      <c r="E16">
        <v>10.545633</v>
      </c>
      <c r="L16" t="s">
        <v>663</v>
      </c>
      <c r="M16">
        <v>0</v>
      </c>
      <c r="N16">
        <v>0</v>
      </c>
      <c r="O16">
        <v>37.798650000000002</v>
      </c>
      <c r="P16">
        <v>10.545633</v>
      </c>
      <c r="Q16">
        <v>27.253017</v>
      </c>
      <c r="R16">
        <v>0</v>
      </c>
      <c r="S16" s="1">
        <f t="shared" si="0"/>
        <v>0.8221800000000008</v>
      </c>
      <c r="T16" s="2">
        <f t="shared" si="1"/>
        <v>82.218000000000075</v>
      </c>
    </row>
    <row r="17" spans="1:20" x14ac:dyDescent="0.2">
      <c r="A17" t="s">
        <v>664</v>
      </c>
      <c r="D17">
        <v>36.122475000000001</v>
      </c>
      <c r="E17">
        <v>10.863833</v>
      </c>
      <c r="L17" t="s">
        <v>664</v>
      </c>
      <c r="M17">
        <v>0</v>
      </c>
      <c r="N17">
        <v>0</v>
      </c>
      <c r="O17">
        <v>36.122475000000001</v>
      </c>
      <c r="P17">
        <v>10.863833</v>
      </c>
      <c r="Q17">
        <v>25.258641999999998</v>
      </c>
      <c r="R17">
        <v>0</v>
      </c>
      <c r="S17" s="1">
        <f t="shared" si="0"/>
        <v>0.8221800000000008</v>
      </c>
      <c r="T17" s="2">
        <f t="shared" si="1"/>
        <v>82.218000000000075</v>
      </c>
    </row>
    <row r="18" spans="1:20" x14ac:dyDescent="0.2">
      <c r="A18" t="s">
        <v>665</v>
      </c>
      <c r="D18">
        <v>28.897473999999999</v>
      </c>
      <c r="E18">
        <v>11.1158</v>
      </c>
      <c r="L18" t="s">
        <v>665</v>
      </c>
      <c r="M18">
        <v>0</v>
      </c>
      <c r="N18">
        <v>17.782</v>
      </c>
      <c r="O18">
        <v>28.897473999999999</v>
      </c>
      <c r="P18">
        <v>11.1158</v>
      </c>
      <c r="Q18">
        <v>0</v>
      </c>
      <c r="R18">
        <v>0</v>
      </c>
      <c r="S18" s="1">
        <f t="shared" si="0"/>
        <v>1.0000000000000007</v>
      </c>
      <c r="T18" s="2">
        <f t="shared" si="1"/>
        <v>100.00000000000007</v>
      </c>
    </row>
    <row r="19" spans="1:20" x14ac:dyDescent="0.2">
      <c r="A19" t="s">
        <v>666</v>
      </c>
      <c r="D19">
        <v>17.286724</v>
      </c>
      <c r="E19">
        <v>11.814125000000001</v>
      </c>
      <c r="L19" t="s">
        <v>666</v>
      </c>
      <c r="M19">
        <v>0</v>
      </c>
      <c r="N19">
        <v>0</v>
      </c>
      <c r="O19">
        <v>17.286724</v>
      </c>
      <c r="P19">
        <v>11.814125000000001</v>
      </c>
      <c r="Q19">
        <v>5.4725989999999989</v>
      </c>
      <c r="R19">
        <v>0</v>
      </c>
      <c r="S19" s="1">
        <f t="shared" si="0"/>
        <v>1.0000000000000007</v>
      </c>
      <c r="T19" s="2">
        <f t="shared" si="1"/>
        <v>100.00000000000007</v>
      </c>
    </row>
    <row r="20" spans="1:20" x14ac:dyDescent="0.2">
      <c r="A20" t="s">
        <v>667</v>
      </c>
      <c r="D20">
        <v>4.2363004999999996</v>
      </c>
      <c r="E20">
        <v>12.512449999999999</v>
      </c>
      <c r="L20" t="s">
        <v>667</v>
      </c>
      <c r="M20">
        <v>8.2759999999999998</v>
      </c>
      <c r="N20">
        <v>0</v>
      </c>
      <c r="O20">
        <v>4.2363004999999996</v>
      </c>
      <c r="P20">
        <v>12.512449999999999</v>
      </c>
      <c r="Q20">
        <v>0</v>
      </c>
      <c r="R20">
        <v>0</v>
      </c>
      <c r="S20" s="1">
        <f t="shared" si="0"/>
        <v>0.91724000000000072</v>
      </c>
      <c r="T20" s="2">
        <f t="shared" si="1"/>
        <v>91.724000000000075</v>
      </c>
    </row>
    <row r="21" spans="1:20" x14ac:dyDescent="0.2">
      <c r="A21" t="s">
        <v>668</v>
      </c>
      <c r="D21">
        <v>2.9824666999999999E-2</v>
      </c>
      <c r="E21">
        <v>11.08595</v>
      </c>
      <c r="L21" t="s">
        <v>668</v>
      </c>
      <c r="M21">
        <v>11.055999999999999</v>
      </c>
      <c r="N21">
        <v>0</v>
      </c>
      <c r="O21">
        <v>2.9824666999999999E-2</v>
      </c>
      <c r="P21">
        <v>11.08595</v>
      </c>
      <c r="Q21">
        <v>0</v>
      </c>
      <c r="R21">
        <v>0</v>
      </c>
      <c r="S21" s="1">
        <f t="shared" si="0"/>
        <v>0.80668000000000073</v>
      </c>
      <c r="T21" s="2">
        <f t="shared" si="1"/>
        <v>80.668000000000077</v>
      </c>
    </row>
    <row r="22" spans="1:20" x14ac:dyDescent="0.2">
      <c r="A22" t="s">
        <v>669</v>
      </c>
      <c r="D22">
        <v>0</v>
      </c>
      <c r="E22">
        <v>11.5966</v>
      </c>
      <c r="L22" t="s">
        <v>669</v>
      </c>
      <c r="M22">
        <v>11.597</v>
      </c>
      <c r="N22">
        <v>0</v>
      </c>
      <c r="O22">
        <v>0</v>
      </c>
      <c r="P22">
        <v>11.5966</v>
      </c>
      <c r="Q22">
        <v>0</v>
      </c>
      <c r="R22">
        <v>0</v>
      </c>
      <c r="S22" s="1">
        <f t="shared" si="0"/>
        <v>0.69071000000000082</v>
      </c>
      <c r="T22" s="2">
        <f t="shared" si="1"/>
        <v>69.071000000000083</v>
      </c>
    </row>
    <row r="23" spans="1:20" x14ac:dyDescent="0.2">
      <c r="A23" t="s">
        <v>670</v>
      </c>
      <c r="D23">
        <v>0</v>
      </c>
      <c r="E23">
        <v>11.003133999999999</v>
      </c>
      <c r="L23" t="s">
        <v>670</v>
      </c>
      <c r="M23">
        <v>11.003</v>
      </c>
      <c r="N23">
        <v>0</v>
      </c>
      <c r="O23">
        <v>0</v>
      </c>
      <c r="P23">
        <v>11.003133999999999</v>
      </c>
      <c r="Q23">
        <v>0</v>
      </c>
      <c r="R23">
        <v>0</v>
      </c>
      <c r="S23" s="1">
        <f t="shared" si="0"/>
        <v>0.58068000000000086</v>
      </c>
      <c r="T23" s="2">
        <f t="shared" si="1"/>
        <v>58.068000000000083</v>
      </c>
    </row>
    <row r="24" spans="1:20" x14ac:dyDescent="0.2">
      <c r="A24" t="s">
        <v>671</v>
      </c>
      <c r="D24">
        <v>0</v>
      </c>
      <c r="E24">
        <v>11.096700999999999</v>
      </c>
      <c r="L24" t="s">
        <v>671</v>
      </c>
      <c r="M24">
        <v>11.097</v>
      </c>
      <c r="N24">
        <v>0</v>
      </c>
      <c r="O24">
        <v>0</v>
      </c>
      <c r="P24">
        <v>11.096700999999999</v>
      </c>
      <c r="Q24">
        <v>0</v>
      </c>
      <c r="R24">
        <v>0</v>
      </c>
      <c r="S24" s="1">
        <f t="shared" si="0"/>
        <v>0.46971000000000079</v>
      </c>
      <c r="T24" s="2">
        <f t="shared" si="1"/>
        <v>46.971000000000082</v>
      </c>
    </row>
    <row r="25" spans="1:20" x14ac:dyDescent="0.2">
      <c r="A25" t="s">
        <v>672</v>
      </c>
      <c r="D25">
        <v>0</v>
      </c>
      <c r="E25">
        <v>11.0009</v>
      </c>
      <c r="L25" t="s">
        <v>672</v>
      </c>
      <c r="M25">
        <v>11.000999999999999</v>
      </c>
      <c r="N25">
        <v>0</v>
      </c>
      <c r="O25">
        <v>0</v>
      </c>
      <c r="P25">
        <v>11.0009</v>
      </c>
      <c r="Q25">
        <v>0</v>
      </c>
      <c r="R25">
        <v>0</v>
      </c>
      <c r="S25" s="1">
        <f t="shared" si="0"/>
        <v>0.35970000000000085</v>
      </c>
      <c r="T25" s="2">
        <f t="shared" si="1"/>
        <v>35.970000000000084</v>
      </c>
    </row>
    <row r="26" spans="1:20" x14ac:dyDescent="0.2">
      <c r="A26" t="s">
        <v>673</v>
      </c>
      <c r="D26">
        <v>0</v>
      </c>
      <c r="E26">
        <v>9.5288500000000003</v>
      </c>
      <c r="L26" t="s">
        <v>673</v>
      </c>
      <c r="M26">
        <v>9.5289999999999999</v>
      </c>
      <c r="N26">
        <v>0</v>
      </c>
      <c r="O26">
        <v>0</v>
      </c>
      <c r="P26">
        <v>9.5288500000000003</v>
      </c>
      <c r="Q26">
        <v>0</v>
      </c>
      <c r="R26">
        <v>0</v>
      </c>
      <c r="S26" s="1">
        <f t="shared" si="0"/>
        <v>0.26441000000000087</v>
      </c>
      <c r="T26" s="2">
        <f t="shared" si="1"/>
        <v>26.441000000000084</v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X26"/>
  <sheetViews>
    <sheetView workbookViewId="0"/>
  </sheetViews>
  <sheetFormatPr baseColWidth="10" defaultColWidth="8.83203125" defaultRowHeight="15" x14ac:dyDescent="0.2"/>
  <sheetData>
    <row r="1" spans="1:24" x14ac:dyDescent="0.2">
      <c r="A1" t="s">
        <v>0</v>
      </c>
      <c r="D1" t="s">
        <v>1</v>
      </c>
      <c r="L1" t="s">
        <v>2</v>
      </c>
      <c r="R1" t="s">
        <v>3</v>
      </c>
      <c r="S1" s="1">
        <v>0.26441000000000092</v>
      </c>
      <c r="T1">
        <f>S1*V1</f>
        <v>26.441000000000091</v>
      </c>
      <c r="U1" t="s">
        <v>4</v>
      </c>
      <c r="V1">
        <v>100</v>
      </c>
      <c r="W1" t="s">
        <v>5</v>
      </c>
      <c r="X1" s="1">
        <v>0.1</v>
      </c>
    </row>
    <row r="2" spans="1:24" x14ac:dyDescent="0.2">
      <c r="A2" t="s">
        <v>6</v>
      </c>
      <c r="B2" t="s">
        <v>7</v>
      </c>
      <c r="C2" t="s">
        <v>8</v>
      </c>
      <c r="D2" t="s">
        <v>9</v>
      </c>
      <c r="E2" t="s">
        <v>10</v>
      </c>
      <c r="F2" t="s">
        <v>11</v>
      </c>
      <c r="G2" t="s">
        <v>12</v>
      </c>
      <c r="H2" t="s">
        <v>13</v>
      </c>
      <c r="I2" t="s">
        <v>14</v>
      </c>
      <c r="L2" t="s">
        <v>6</v>
      </c>
      <c r="M2" t="s">
        <v>7</v>
      </c>
      <c r="N2" t="s">
        <v>8</v>
      </c>
      <c r="O2" t="s">
        <v>9</v>
      </c>
      <c r="P2" t="s">
        <v>10</v>
      </c>
      <c r="Q2" t="s">
        <v>11</v>
      </c>
      <c r="R2" t="s">
        <v>12</v>
      </c>
      <c r="S2" t="s">
        <v>13</v>
      </c>
      <c r="T2" t="s">
        <v>14</v>
      </c>
      <c r="W2" t="s">
        <v>15</v>
      </c>
      <c r="X2" s="1">
        <v>1</v>
      </c>
    </row>
    <row r="3" spans="1:24" x14ac:dyDescent="0.2">
      <c r="A3" t="s">
        <v>674</v>
      </c>
      <c r="D3">
        <v>0</v>
      </c>
      <c r="E3">
        <v>9.1674340000000001</v>
      </c>
      <c r="L3" t="s">
        <v>674</v>
      </c>
      <c r="M3">
        <v>0</v>
      </c>
      <c r="N3">
        <v>0</v>
      </c>
      <c r="O3">
        <v>0</v>
      </c>
      <c r="P3">
        <v>9.1674340000000001</v>
      </c>
      <c r="Q3">
        <v>0</v>
      </c>
      <c r="R3">
        <v>9.1674340000000001</v>
      </c>
      <c r="S3" s="1">
        <f t="shared" ref="S3:S26" si="0">T3/V$1</f>
        <v>0.26441000000000092</v>
      </c>
      <c r="T3" s="2">
        <f>T1-M3+N3</f>
        <v>26.441000000000091</v>
      </c>
    </row>
    <row r="4" spans="1:24" x14ac:dyDescent="0.2">
      <c r="A4" t="s">
        <v>675</v>
      </c>
      <c r="D4">
        <v>0</v>
      </c>
      <c r="E4">
        <v>9.0687999999999995</v>
      </c>
      <c r="L4" t="s">
        <v>675</v>
      </c>
      <c r="M4">
        <v>0</v>
      </c>
      <c r="N4">
        <v>0</v>
      </c>
      <c r="O4">
        <v>0</v>
      </c>
      <c r="P4">
        <v>9.0687999999999995</v>
      </c>
      <c r="Q4">
        <v>0</v>
      </c>
      <c r="R4">
        <v>9.0687999999999995</v>
      </c>
      <c r="S4" s="1">
        <f t="shared" si="0"/>
        <v>0.26441000000000092</v>
      </c>
      <c r="T4" s="2">
        <f t="shared" ref="T4:T26" si="1">T3-M4+N4</f>
        <v>26.441000000000091</v>
      </c>
    </row>
    <row r="5" spans="1:24" x14ac:dyDescent="0.2">
      <c r="A5" t="s">
        <v>676</v>
      </c>
      <c r="D5">
        <v>0</v>
      </c>
      <c r="E5">
        <v>6.5766999999999998</v>
      </c>
      <c r="L5" t="s">
        <v>676</v>
      </c>
      <c r="M5">
        <v>0</v>
      </c>
      <c r="N5">
        <v>0</v>
      </c>
      <c r="O5">
        <v>0</v>
      </c>
      <c r="P5">
        <v>6.5766999999999998</v>
      </c>
      <c r="Q5">
        <v>0</v>
      </c>
      <c r="R5">
        <v>6.5766999999999998</v>
      </c>
      <c r="S5" s="1">
        <f t="shared" si="0"/>
        <v>0.26441000000000092</v>
      </c>
      <c r="T5" s="2">
        <f t="shared" si="1"/>
        <v>26.441000000000091</v>
      </c>
    </row>
    <row r="6" spans="1:24" x14ac:dyDescent="0.2">
      <c r="A6" t="s">
        <v>677</v>
      </c>
      <c r="D6">
        <v>0</v>
      </c>
      <c r="E6">
        <v>8.7192000000000007</v>
      </c>
      <c r="L6" t="s">
        <v>677</v>
      </c>
      <c r="M6">
        <v>8.7189999999999994</v>
      </c>
      <c r="N6">
        <v>0</v>
      </c>
      <c r="O6">
        <v>0</v>
      </c>
      <c r="P6">
        <v>8.7192000000000007</v>
      </c>
      <c r="Q6">
        <v>0</v>
      </c>
      <c r="R6">
        <v>0</v>
      </c>
      <c r="S6" s="1">
        <f t="shared" si="0"/>
        <v>0.17722000000000093</v>
      </c>
      <c r="T6" s="2">
        <f t="shared" si="1"/>
        <v>17.722000000000094</v>
      </c>
      <c r="V6" t="s">
        <v>20</v>
      </c>
      <c r="W6" t="s">
        <v>678</v>
      </c>
    </row>
    <row r="7" spans="1:24" x14ac:dyDescent="0.2">
      <c r="A7" t="s">
        <v>679</v>
      </c>
      <c r="D7">
        <v>0</v>
      </c>
      <c r="E7">
        <v>7.2004000000000001</v>
      </c>
      <c r="L7" t="s">
        <v>679</v>
      </c>
      <c r="M7">
        <v>0</v>
      </c>
      <c r="N7">
        <v>0</v>
      </c>
      <c r="O7">
        <v>0</v>
      </c>
      <c r="P7">
        <v>7.2004000000000001</v>
      </c>
      <c r="Q7">
        <v>0</v>
      </c>
      <c r="R7">
        <v>7.2004000000000001</v>
      </c>
      <c r="S7" s="1">
        <f t="shared" si="0"/>
        <v>0.17722000000000093</v>
      </c>
      <c r="T7" s="2">
        <f t="shared" si="1"/>
        <v>17.722000000000094</v>
      </c>
      <c r="V7" t="s">
        <v>23</v>
      </c>
      <c r="W7" t="s">
        <v>24</v>
      </c>
    </row>
    <row r="8" spans="1:24" x14ac:dyDescent="0.2">
      <c r="A8" t="s">
        <v>680</v>
      </c>
      <c r="D8">
        <v>0</v>
      </c>
      <c r="E8">
        <v>7.0206002999999999</v>
      </c>
      <c r="L8" t="s">
        <v>680</v>
      </c>
      <c r="M8">
        <v>0</v>
      </c>
      <c r="N8">
        <v>0</v>
      </c>
      <c r="O8">
        <v>0</v>
      </c>
      <c r="P8">
        <v>7.0206002999999999</v>
      </c>
      <c r="Q8">
        <v>0</v>
      </c>
      <c r="R8">
        <v>7.0206002999999999</v>
      </c>
      <c r="S8" s="1">
        <f t="shared" si="0"/>
        <v>0.17722000000000093</v>
      </c>
      <c r="T8" s="2">
        <f t="shared" si="1"/>
        <v>17.722000000000094</v>
      </c>
      <c r="V8" t="s">
        <v>26</v>
      </c>
      <c r="W8">
        <v>8.2000000000000003E-2</v>
      </c>
    </row>
    <row r="9" spans="1:24" x14ac:dyDescent="0.2">
      <c r="A9" t="s">
        <v>681</v>
      </c>
      <c r="D9">
        <v>0</v>
      </c>
      <c r="E9">
        <v>6.9160500000000003</v>
      </c>
      <c r="L9" t="s">
        <v>681</v>
      </c>
      <c r="M9">
        <v>6.9160000000000004</v>
      </c>
      <c r="N9">
        <v>0</v>
      </c>
      <c r="O9">
        <v>0</v>
      </c>
      <c r="P9">
        <v>6.9160500000000003</v>
      </c>
      <c r="Q9">
        <v>0</v>
      </c>
      <c r="R9">
        <v>0</v>
      </c>
      <c r="S9" s="1">
        <f t="shared" si="0"/>
        <v>0.10806000000000093</v>
      </c>
      <c r="T9" s="2">
        <f t="shared" si="1"/>
        <v>10.806000000000093</v>
      </c>
      <c r="V9" t="s">
        <v>28</v>
      </c>
      <c r="W9">
        <f>W8/60</f>
        <v>1.3666666666666666E-3</v>
      </c>
    </row>
    <row r="10" spans="1:24" x14ac:dyDescent="0.2">
      <c r="A10" t="s">
        <v>682</v>
      </c>
      <c r="D10">
        <v>0.26760005999999997</v>
      </c>
      <c r="E10">
        <v>5.8507999999999996</v>
      </c>
      <c r="L10" t="s">
        <v>682</v>
      </c>
      <c r="M10">
        <v>0.80600000000000005</v>
      </c>
      <c r="N10">
        <v>0</v>
      </c>
      <c r="O10">
        <v>0.26760005999999997</v>
      </c>
      <c r="P10">
        <v>5.8507999999999996</v>
      </c>
      <c r="Q10">
        <v>0</v>
      </c>
      <c r="R10">
        <v>4.7771999399999991</v>
      </c>
      <c r="S10" s="1">
        <f t="shared" si="0"/>
        <v>0.10000000000000092</v>
      </c>
      <c r="T10" s="2">
        <f t="shared" si="1"/>
        <v>10.000000000000092</v>
      </c>
    </row>
    <row r="11" spans="1:24" x14ac:dyDescent="0.2">
      <c r="A11" t="s">
        <v>683</v>
      </c>
      <c r="D11">
        <v>5.1955504000000001</v>
      </c>
      <c r="E11">
        <v>6.8837999999999999</v>
      </c>
      <c r="L11" t="s">
        <v>683</v>
      </c>
      <c r="M11">
        <v>0</v>
      </c>
      <c r="N11">
        <v>0</v>
      </c>
      <c r="O11">
        <v>5.1955504000000001</v>
      </c>
      <c r="P11">
        <v>6.8837999999999999</v>
      </c>
      <c r="Q11">
        <v>0</v>
      </c>
      <c r="R11">
        <v>1.6882496</v>
      </c>
      <c r="S11" s="1">
        <f t="shared" si="0"/>
        <v>0.10000000000000092</v>
      </c>
      <c r="T11" s="2">
        <f t="shared" si="1"/>
        <v>10.000000000000092</v>
      </c>
    </row>
    <row r="12" spans="1:24" x14ac:dyDescent="0.2">
      <c r="A12" t="s">
        <v>684</v>
      </c>
      <c r="D12">
        <v>22.439</v>
      </c>
      <c r="E12">
        <v>6.8089000000000004</v>
      </c>
      <c r="L12" t="s">
        <v>684</v>
      </c>
      <c r="M12">
        <v>0</v>
      </c>
      <c r="N12">
        <v>15.63</v>
      </c>
      <c r="O12">
        <v>22.439</v>
      </c>
      <c r="P12">
        <v>6.8089000000000004</v>
      </c>
      <c r="Q12">
        <v>0</v>
      </c>
      <c r="R12">
        <v>0</v>
      </c>
      <c r="S12" s="1">
        <f t="shared" si="0"/>
        <v>0.25630000000000097</v>
      </c>
      <c r="T12" s="2">
        <f t="shared" si="1"/>
        <v>25.630000000000095</v>
      </c>
    </row>
    <row r="13" spans="1:24" x14ac:dyDescent="0.2">
      <c r="A13" t="s">
        <v>685</v>
      </c>
      <c r="D13">
        <v>32.878352999999997</v>
      </c>
      <c r="E13">
        <v>6.7977004000000001</v>
      </c>
      <c r="L13" t="s">
        <v>685</v>
      </c>
      <c r="M13">
        <v>0</v>
      </c>
      <c r="N13">
        <v>2.4710000000000001</v>
      </c>
      <c r="O13">
        <v>32.878352999999997</v>
      </c>
      <c r="P13">
        <v>6.7977004000000001</v>
      </c>
      <c r="Q13">
        <v>23.6096526</v>
      </c>
      <c r="R13">
        <v>0</v>
      </c>
      <c r="S13" s="1">
        <f t="shared" si="0"/>
        <v>0.28101000000000093</v>
      </c>
      <c r="T13" s="2">
        <f t="shared" si="1"/>
        <v>28.101000000000095</v>
      </c>
    </row>
    <row r="14" spans="1:24" x14ac:dyDescent="0.2">
      <c r="A14" t="s">
        <v>686</v>
      </c>
      <c r="D14">
        <v>37.923572999999998</v>
      </c>
      <c r="E14">
        <v>12.736499999999999</v>
      </c>
      <c r="L14" t="s">
        <v>686</v>
      </c>
      <c r="M14">
        <v>0</v>
      </c>
      <c r="N14">
        <v>0</v>
      </c>
      <c r="O14">
        <v>37.923572999999998</v>
      </c>
      <c r="P14">
        <v>12.736499999999999</v>
      </c>
      <c r="Q14">
        <v>25.187073000000002</v>
      </c>
      <c r="R14">
        <v>0</v>
      </c>
      <c r="S14" s="1">
        <f t="shared" si="0"/>
        <v>0.28101000000000093</v>
      </c>
      <c r="T14" s="2">
        <f t="shared" si="1"/>
        <v>28.101000000000095</v>
      </c>
    </row>
    <row r="15" spans="1:24" x14ac:dyDescent="0.2">
      <c r="A15" t="s">
        <v>687</v>
      </c>
      <c r="D15">
        <v>40.223550000000003</v>
      </c>
      <c r="E15">
        <v>12.16405</v>
      </c>
      <c r="L15" t="s">
        <v>687</v>
      </c>
      <c r="M15">
        <v>0</v>
      </c>
      <c r="N15">
        <v>28.06</v>
      </c>
      <c r="O15">
        <v>40.223550000000003</v>
      </c>
      <c r="P15">
        <v>12.16405</v>
      </c>
      <c r="Q15">
        <v>0</v>
      </c>
      <c r="R15">
        <v>0</v>
      </c>
      <c r="S15" s="1">
        <f t="shared" si="0"/>
        <v>0.56161000000000094</v>
      </c>
      <c r="T15" s="2">
        <f t="shared" si="1"/>
        <v>56.161000000000094</v>
      </c>
    </row>
    <row r="16" spans="1:24" x14ac:dyDescent="0.2">
      <c r="A16" t="s">
        <v>688</v>
      </c>
      <c r="D16">
        <v>38.597675000000002</v>
      </c>
      <c r="E16">
        <v>11.591599</v>
      </c>
      <c r="L16" t="s">
        <v>688</v>
      </c>
      <c r="M16">
        <v>0</v>
      </c>
      <c r="N16">
        <v>27.006</v>
      </c>
      <c r="O16">
        <v>38.597675000000002</v>
      </c>
      <c r="P16">
        <v>11.591599</v>
      </c>
      <c r="Q16">
        <v>0</v>
      </c>
      <c r="R16">
        <v>0</v>
      </c>
      <c r="S16" s="1">
        <f t="shared" si="0"/>
        <v>0.83167000000000091</v>
      </c>
      <c r="T16" s="2">
        <f t="shared" si="1"/>
        <v>83.167000000000087</v>
      </c>
    </row>
    <row r="17" spans="1:20" x14ac:dyDescent="0.2">
      <c r="A17" t="s">
        <v>689</v>
      </c>
      <c r="D17">
        <v>33.981377000000002</v>
      </c>
      <c r="E17">
        <v>10.320399999999999</v>
      </c>
      <c r="L17" t="s">
        <v>689</v>
      </c>
      <c r="M17">
        <v>0</v>
      </c>
      <c r="N17">
        <v>0</v>
      </c>
      <c r="O17">
        <v>33.981377000000002</v>
      </c>
      <c r="P17">
        <v>10.320399999999999</v>
      </c>
      <c r="Q17">
        <v>23.660976999999999</v>
      </c>
      <c r="R17">
        <v>0</v>
      </c>
      <c r="S17" s="1">
        <f t="shared" si="0"/>
        <v>0.83167000000000091</v>
      </c>
      <c r="T17" s="2">
        <f t="shared" si="1"/>
        <v>83.167000000000087</v>
      </c>
    </row>
    <row r="18" spans="1:20" x14ac:dyDescent="0.2">
      <c r="A18" t="s">
        <v>690</v>
      </c>
      <c r="D18">
        <v>26.305499999999999</v>
      </c>
      <c r="E18">
        <v>9.4722000000000008</v>
      </c>
      <c r="L18" t="s">
        <v>690</v>
      </c>
      <c r="M18">
        <v>0</v>
      </c>
      <c r="N18">
        <v>16.832999999999998</v>
      </c>
      <c r="O18">
        <v>26.305499999999999</v>
      </c>
      <c r="P18">
        <v>9.4722000000000008</v>
      </c>
      <c r="Q18">
        <v>0</v>
      </c>
      <c r="R18">
        <v>0</v>
      </c>
      <c r="S18" s="1">
        <f t="shared" si="0"/>
        <v>1.0000000000000009</v>
      </c>
      <c r="T18" s="2">
        <f t="shared" si="1"/>
        <v>100.00000000000009</v>
      </c>
    </row>
    <row r="19" spans="1:20" x14ac:dyDescent="0.2">
      <c r="A19" t="s">
        <v>691</v>
      </c>
      <c r="D19">
        <v>14.968525</v>
      </c>
      <c r="E19">
        <v>8.6240000000000006</v>
      </c>
      <c r="L19" t="s">
        <v>691</v>
      </c>
      <c r="M19">
        <v>0</v>
      </c>
      <c r="N19">
        <v>0</v>
      </c>
      <c r="O19">
        <v>14.968525</v>
      </c>
      <c r="P19">
        <v>8.6240000000000006</v>
      </c>
      <c r="Q19">
        <v>6.3445249999999991</v>
      </c>
      <c r="R19">
        <v>0</v>
      </c>
      <c r="S19" s="1">
        <f t="shared" si="0"/>
        <v>1.0000000000000009</v>
      </c>
      <c r="T19" s="2">
        <f t="shared" si="1"/>
        <v>100.00000000000009</v>
      </c>
    </row>
    <row r="20" spans="1:20" x14ac:dyDescent="0.2">
      <c r="A20" t="s">
        <v>692</v>
      </c>
      <c r="D20">
        <v>3.5072749000000001</v>
      </c>
      <c r="E20">
        <v>10.084099999999999</v>
      </c>
      <c r="L20" t="s">
        <v>692</v>
      </c>
      <c r="M20">
        <v>6.577</v>
      </c>
      <c r="N20">
        <v>0</v>
      </c>
      <c r="O20">
        <v>3.5072749000000001</v>
      </c>
      <c r="P20">
        <v>10.084099999999999</v>
      </c>
      <c r="Q20">
        <v>0</v>
      </c>
      <c r="R20">
        <v>0</v>
      </c>
      <c r="S20" s="1">
        <f t="shared" si="0"/>
        <v>0.93423000000000089</v>
      </c>
      <c r="T20" s="2">
        <f t="shared" si="1"/>
        <v>93.423000000000087</v>
      </c>
    </row>
    <row r="21" spans="1:20" x14ac:dyDescent="0.2">
      <c r="A21" t="s">
        <v>693</v>
      </c>
      <c r="D21">
        <v>3.0874472E-2</v>
      </c>
      <c r="E21">
        <v>9.9839509999999994</v>
      </c>
      <c r="L21" t="s">
        <v>693</v>
      </c>
      <c r="M21">
        <v>9.9529999999999994</v>
      </c>
      <c r="N21">
        <v>0</v>
      </c>
      <c r="O21">
        <v>3.0874472E-2</v>
      </c>
      <c r="P21">
        <v>9.9839509999999994</v>
      </c>
      <c r="Q21">
        <v>0</v>
      </c>
      <c r="R21">
        <v>0</v>
      </c>
      <c r="S21" s="1">
        <f t="shared" si="0"/>
        <v>0.83470000000000089</v>
      </c>
      <c r="T21" s="2">
        <f t="shared" si="1"/>
        <v>83.470000000000084</v>
      </c>
    </row>
    <row r="22" spans="1:20" x14ac:dyDescent="0.2">
      <c r="A22" t="s">
        <v>694</v>
      </c>
      <c r="D22">
        <v>0</v>
      </c>
      <c r="E22">
        <v>2.5764334</v>
      </c>
      <c r="L22" t="s">
        <v>694</v>
      </c>
      <c r="M22">
        <v>2.5760000000000001</v>
      </c>
      <c r="N22">
        <v>0</v>
      </c>
      <c r="O22">
        <v>0</v>
      </c>
      <c r="P22">
        <v>2.5764334</v>
      </c>
      <c r="Q22">
        <v>0</v>
      </c>
      <c r="R22">
        <v>0</v>
      </c>
      <c r="S22" s="1">
        <f t="shared" si="0"/>
        <v>0.80894000000000088</v>
      </c>
      <c r="T22" s="2">
        <f t="shared" si="1"/>
        <v>80.894000000000091</v>
      </c>
    </row>
    <row r="23" spans="1:20" x14ac:dyDescent="0.2">
      <c r="A23" t="s">
        <v>695</v>
      </c>
      <c r="D23">
        <v>0</v>
      </c>
      <c r="E23">
        <v>9.9923999999999999</v>
      </c>
      <c r="L23" t="s">
        <v>695</v>
      </c>
      <c r="M23">
        <v>9.9920000000000009</v>
      </c>
      <c r="N23">
        <v>0</v>
      </c>
      <c r="O23">
        <v>0</v>
      </c>
      <c r="P23">
        <v>9.9923999999999999</v>
      </c>
      <c r="Q23">
        <v>0</v>
      </c>
      <c r="R23">
        <v>0</v>
      </c>
      <c r="S23" s="1">
        <f t="shared" si="0"/>
        <v>0.70902000000000087</v>
      </c>
      <c r="T23" s="2">
        <f t="shared" si="1"/>
        <v>70.902000000000086</v>
      </c>
    </row>
    <row r="24" spans="1:20" x14ac:dyDescent="0.2">
      <c r="A24" t="s">
        <v>696</v>
      </c>
      <c r="D24">
        <v>0</v>
      </c>
      <c r="E24">
        <v>7.1959999999999997</v>
      </c>
      <c r="L24" t="s">
        <v>696</v>
      </c>
      <c r="M24">
        <v>7.1959999999999997</v>
      </c>
      <c r="N24">
        <v>0</v>
      </c>
      <c r="O24">
        <v>0</v>
      </c>
      <c r="P24">
        <v>7.1959999999999997</v>
      </c>
      <c r="Q24">
        <v>0</v>
      </c>
      <c r="R24">
        <v>0</v>
      </c>
      <c r="S24" s="1">
        <f t="shared" si="0"/>
        <v>0.63706000000000085</v>
      </c>
      <c r="T24" s="2">
        <f t="shared" si="1"/>
        <v>63.706000000000088</v>
      </c>
    </row>
    <row r="25" spans="1:20" x14ac:dyDescent="0.2">
      <c r="A25" t="s">
        <v>697</v>
      </c>
      <c r="D25">
        <v>0</v>
      </c>
      <c r="E25">
        <v>10.31565</v>
      </c>
      <c r="L25" t="s">
        <v>697</v>
      </c>
      <c r="M25">
        <v>10.316000000000001</v>
      </c>
      <c r="N25">
        <v>0</v>
      </c>
      <c r="O25">
        <v>0</v>
      </c>
      <c r="P25">
        <v>10.31565</v>
      </c>
      <c r="Q25">
        <v>0</v>
      </c>
      <c r="R25">
        <v>0</v>
      </c>
      <c r="S25" s="1">
        <f t="shared" si="0"/>
        <v>0.53390000000000082</v>
      </c>
      <c r="T25" s="2">
        <f t="shared" si="1"/>
        <v>53.390000000000086</v>
      </c>
    </row>
    <row r="26" spans="1:20" x14ac:dyDescent="0.2">
      <c r="A26" t="s">
        <v>698</v>
      </c>
      <c r="D26">
        <v>0</v>
      </c>
      <c r="E26">
        <v>9.573067</v>
      </c>
      <c r="L26" t="s">
        <v>698</v>
      </c>
      <c r="M26">
        <v>9.5730000000000004</v>
      </c>
      <c r="N26">
        <v>0</v>
      </c>
      <c r="O26">
        <v>0</v>
      </c>
      <c r="P26">
        <v>9.573067</v>
      </c>
      <c r="Q26">
        <v>0</v>
      </c>
      <c r="R26">
        <v>0</v>
      </c>
      <c r="S26" s="1">
        <f t="shared" si="0"/>
        <v>0.43817000000000084</v>
      </c>
      <c r="T26" s="2">
        <f t="shared" si="1"/>
        <v>43.817000000000085</v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X26"/>
  <sheetViews>
    <sheetView workbookViewId="0"/>
  </sheetViews>
  <sheetFormatPr baseColWidth="10" defaultColWidth="8.83203125" defaultRowHeight="15" x14ac:dyDescent="0.2"/>
  <sheetData>
    <row r="1" spans="1:24" x14ac:dyDescent="0.2">
      <c r="A1" t="s">
        <v>0</v>
      </c>
      <c r="D1" t="s">
        <v>1</v>
      </c>
      <c r="L1" t="s">
        <v>2</v>
      </c>
      <c r="R1" t="s">
        <v>3</v>
      </c>
      <c r="S1" s="1">
        <v>0.438170000000001</v>
      </c>
      <c r="T1">
        <f>S1*V1</f>
        <v>43.8170000000001</v>
      </c>
      <c r="U1" t="s">
        <v>4</v>
      </c>
      <c r="V1">
        <v>100</v>
      </c>
      <c r="W1" t="s">
        <v>5</v>
      </c>
      <c r="X1" s="1">
        <v>0.1</v>
      </c>
    </row>
    <row r="2" spans="1:24" x14ac:dyDescent="0.2">
      <c r="A2" t="s">
        <v>6</v>
      </c>
      <c r="B2" t="s">
        <v>7</v>
      </c>
      <c r="C2" t="s">
        <v>8</v>
      </c>
      <c r="D2" t="s">
        <v>9</v>
      </c>
      <c r="E2" t="s">
        <v>10</v>
      </c>
      <c r="F2" t="s">
        <v>11</v>
      </c>
      <c r="G2" t="s">
        <v>12</v>
      </c>
      <c r="H2" t="s">
        <v>13</v>
      </c>
      <c r="I2" t="s">
        <v>14</v>
      </c>
      <c r="L2" t="s">
        <v>6</v>
      </c>
      <c r="M2" t="s">
        <v>7</v>
      </c>
      <c r="N2" t="s">
        <v>8</v>
      </c>
      <c r="O2" t="s">
        <v>9</v>
      </c>
      <c r="P2" t="s">
        <v>10</v>
      </c>
      <c r="Q2" t="s">
        <v>11</v>
      </c>
      <c r="R2" t="s">
        <v>12</v>
      </c>
      <c r="S2" t="s">
        <v>13</v>
      </c>
      <c r="T2" t="s">
        <v>14</v>
      </c>
      <c r="W2" t="s">
        <v>15</v>
      </c>
      <c r="X2" s="1">
        <v>1</v>
      </c>
    </row>
    <row r="3" spans="1:24" x14ac:dyDescent="0.2">
      <c r="A3" t="s">
        <v>699</v>
      </c>
      <c r="D3">
        <v>0</v>
      </c>
      <c r="E3">
        <v>9.2439499999999999</v>
      </c>
      <c r="L3" t="s">
        <v>699</v>
      </c>
      <c r="M3">
        <v>2.6829999999999998</v>
      </c>
      <c r="N3">
        <v>0</v>
      </c>
      <c r="O3">
        <v>0</v>
      </c>
      <c r="P3">
        <v>9.2439499999999999</v>
      </c>
      <c r="Q3">
        <v>0</v>
      </c>
      <c r="R3">
        <v>6.5609500000000001</v>
      </c>
      <c r="S3" s="1">
        <f t="shared" ref="S3:S26" si="0">T3/V$1</f>
        <v>0.41134000000000098</v>
      </c>
      <c r="T3" s="2">
        <f>T1-M3+N3</f>
        <v>41.1340000000001</v>
      </c>
    </row>
    <row r="4" spans="1:24" x14ac:dyDescent="0.2">
      <c r="A4" t="s">
        <v>700</v>
      </c>
      <c r="D4">
        <v>0</v>
      </c>
      <c r="E4">
        <v>9.1134000000000004</v>
      </c>
      <c r="L4" t="s">
        <v>700</v>
      </c>
      <c r="M4">
        <v>0</v>
      </c>
      <c r="N4">
        <v>0</v>
      </c>
      <c r="O4">
        <v>0</v>
      </c>
      <c r="P4">
        <v>9.1134000000000004</v>
      </c>
      <c r="Q4">
        <v>0</v>
      </c>
      <c r="R4">
        <v>9.1134000000000004</v>
      </c>
      <c r="S4" s="1">
        <f t="shared" si="0"/>
        <v>0.41134000000000098</v>
      </c>
      <c r="T4" s="2">
        <f t="shared" ref="T4:T26" si="1">T3-M4+N4</f>
        <v>41.1340000000001</v>
      </c>
    </row>
    <row r="5" spans="1:24" x14ac:dyDescent="0.2">
      <c r="A5" t="s">
        <v>701</v>
      </c>
      <c r="D5">
        <v>0</v>
      </c>
      <c r="E5">
        <v>7.8983502000000003</v>
      </c>
      <c r="L5" t="s">
        <v>701</v>
      </c>
      <c r="M5">
        <v>7.8979999999999997</v>
      </c>
      <c r="N5">
        <v>0</v>
      </c>
      <c r="O5">
        <v>0</v>
      </c>
      <c r="P5">
        <v>7.8983502000000003</v>
      </c>
      <c r="Q5">
        <v>0</v>
      </c>
      <c r="R5">
        <v>0</v>
      </c>
      <c r="S5" s="1">
        <f t="shared" si="0"/>
        <v>0.33236000000000104</v>
      </c>
      <c r="T5" s="2">
        <f t="shared" si="1"/>
        <v>33.236000000000104</v>
      </c>
    </row>
    <row r="6" spans="1:24" x14ac:dyDescent="0.2">
      <c r="A6" t="s">
        <v>702</v>
      </c>
      <c r="D6">
        <v>0</v>
      </c>
      <c r="E6">
        <v>6.9555496999999997</v>
      </c>
      <c r="L6" t="s">
        <v>702</v>
      </c>
      <c r="M6">
        <v>6.9560000000000004</v>
      </c>
      <c r="N6">
        <v>0</v>
      </c>
      <c r="O6">
        <v>0</v>
      </c>
      <c r="P6">
        <v>6.9555496999999997</v>
      </c>
      <c r="Q6">
        <v>0</v>
      </c>
      <c r="R6">
        <v>0</v>
      </c>
      <c r="S6" s="1">
        <f t="shared" si="0"/>
        <v>0.26280000000000103</v>
      </c>
      <c r="T6" s="2">
        <f t="shared" si="1"/>
        <v>26.280000000000104</v>
      </c>
      <c r="V6" t="s">
        <v>20</v>
      </c>
      <c r="W6" t="s">
        <v>703</v>
      </c>
    </row>
    <row r="7" spans="1:24" x14ac:dyDescent="0.2">
      <c r="A7" t="s">
        <v>704</v>
      </c>
      <c r="D7">
        <v>0</v>
      </c>
      <c r="E7">
        <v>6.9042997000000002</v>
      </c>
      <c r="L7" t="s">
        <v>704</v>
      </c>
      <c r="M7">
        <v>0</v>
      </c>
      <c r="N7">
        <v>0</v>
      </c>
      <c r="O7">
        <v>0</v>
      </c>
      <c r="P7">
        <v>6.9042997000000002</v>
      </c>
      <c r="Q7">
        <v>0</v>
      </c>
      <c r="R7">
        <v>6.9042997000000002</v>
      </c>
      <c r="S7" s="1">
        <f t="shared" si="0"/>
        <v>0.26280000000000103</v>
      </c>
      <c r="T7" s="2">
        <f t="shared" si="1"/>
        <v>26.280000000000104</v>
      </c>
      <c r="V7" t="s">
        <v>23</v>
      </c>
      <c r="W7" t="s">
        <v>454</v>
      </c>
    </row>
    <row r="8" spans="1:24" x14ac:dyDescent="0.2">
      <c r="A8" t="s">
        <v>705</v>
      </c>
      <c r="D8">
        <v>0</v>
      </c>
      <c r="E8">
        <v>6.794467</v>
      </c>
      <c r="L8" t="s">
        <v>705</v>
      </c>
      <c r="M8">
        <v>6.7939999999999996</v>
      </c>
      <c r="N8">
        <v>0</v>
      </c>
      <c r="O8">
        <v>0</v>
      </c>
      <c r="P8">
        <v>6.794467</v>
      </c>
      <c r="Q8">
        <v>0</v>
      </c>
      <c r="R8">
        <v>0</v>
      </c>
      <c r="S8" s="1">
        <f t="shared" si="0"/>
        <v>0.19486000000000103</v>
      </c>
      <c r="T8" s="2">
        <f t="shared" si="1"/>
        <v>19.486000000000104</v>
      </c>
      <c r="V8" t="s">
        <v>26</v>
      </c>
      <c r="W8">
        <v>8.4000000000000005E-2</v>
      </c>
    </row>
    <row r="9" spans="1:24" x14ac:dyDescent="0.2">
      <c r="A9" t="s">
        <v>706</v>
      </c>
      <c r="D9">
        <v>0</v>
      </c>
      <c r="E9">
        <v>6.8983999999999996</v>
      </c>
      <c r="L9" t="s">
        <v>706</v>
      </c>
      <c r="M9">
        <v>6.8979999999999997</v>
      </c>
      <c r="N9">
        <v>0</v>
      </c>
      <c r="O9">
        <v>0</v>
      </c>
      <c r="P9">
        <v>6.8983999999999996</v>
      </c>
      <c r="Q9">
        <v>0</v>
      </c>
      <c r="R9">
        <v>0</v>
      </c>
      <c r="S9" s="1">
        <f t="shared" si="0"/>
        <v>0.12588000000000105</v>
      </c>
      <c r="T9" s="2">
        <f t="shared" si="1"/>
        <v>12.588000000000104</v>
      </c>
      <c r="V9" t="s">
        <v>28</v>
      </c>
      <c r="W9">
        <f>W8/60</f>
        <v>1.4E-3</v>
      </c>
    </row>
    <row r="10" spans="1:24" x14ac:dyDescent="0.2">
      <c r="A10" t="s">
        <v>707</v>
      </c>
      <c r="D10">
        <v>0.29489890000000002</v>
      </c>
      <c r="E10">
        <v>6.7598000000000003</v>
      </c>
      <c r="L10" t="s">
        <v>707</v>
      </c>
      <c r="M10">
        <v>0</v>
      </c>
      <c r="N10">
        <v>0</v>
      </c>
      <c r="O10">
        <v>0.29489890000000002</v>
      </c>
      <c r="P10">
        <v>6.7598000000000003</v>
      </c>
      <c r="Q10">
        <v>0</v>
      </c>
      <c r="R10">
        <v>6.4649011000000014</v>
      </c>
      <c r="S10" s="1">
        <f t="shared" si="0"/>
        <v>0.12588000000000105</v>
      </c>
      <c r="T10" s="2">
        <f t="shared" si="1"/>
        <v>12.588000000000104</v>
      </c>
    </row>
    <row r="11" spans="1:24" x14ac:dyDescent="0.2">
      <c r="A11" t="s">
        <v>708</v>
      </c>
      <c r="D11">
        <v>4.2183256</v>
      </c>
      <c r="E11">
        <v>6.8057002999999998</v>
      </c>
      <c r="L11" t="s">
        <v>708</v>
      </c>
      <c r="M11">
        <v>2.5870000000000002</v>
      </c>
      <c r="N11">
        <v>0</v>
      </c>
      <c r="O11">
        <v>4.2183256</v>
      </c>
      <c r="P11">
        <v>6.8057002999999998</v>
      </c>
      <c r="Q11">
        <v>0</v>
      </c>
      <c r="R11">
        <v>0</v>
      </c>
      <c r="S11" s="1">
        <f t="shared" si="0"/>
        <v>0.10001000000000104</v>
      </c>
      <c r="T11" s="2">
        <f t="shared" si="1"/>
        <v>10.001000000000104</v>
      </c>
    </row>
    <row r="12" spans="1:24" x14ac:dyDescent="0.2">
      <c r="A12" t="s">
        <v>709</v>
      </c>
      <c r="D12">
        <v>20.6814</v>
      </c>
      <c r="E12">
        <v>6.8516000000000004</v>
      </c>
      <c r="L12" t="s">
        <v>709</v>
      </c>
      <c r="M12">
        <v>0</v>
      </c>
      <c r="N12">
        <v>13.83</v>
      </c>
      <c r="O12">
        <v>20.6814</v>
      </c>
      <c r="P12">
        <v>6.8516000000000004</v>
      </c>
      <c r="Q12">
        <v>0</v>
      </c>
      <c r="R12">
        <v>0</v>
      </c>
      <c r="S12" s="1">
        <f t="shared" si="0"/>
        <v>0.23831000000000102</v>
      </c>
      <c r="T12" s="2">
        <f t="shared" si="1"/>
        <v>23.831000000000103</v>
      </c>
    </row>
    <row r="13" spans="1:24" x14ac:dyDescent="0.2">
      <c r="A13" t="s">
        <v>710</v>
      </c>
      <c r="D13">
        <v>31.632425000000001</v>
      </c>
      <c r="E13">
        <v>6.6334666999999996</v>
      </c>
      <c r="L13" t="s">
        <v>710</v>
      </c>
      <c r="M13">
        <v>0</v>
      </c>
      <c r="N13">
        <v>24.998999999999999</v>
      </c>
      <c r="O13">
        <v>31.632425000000001</v>
      </c>
      <c r="P13">
        <v>6.6334666999999996</v>
      </c>
      <c r="Q13">
        <v>0</v>
      </c>
      <c r="R13">
        <v>0</v>
      </c>
      <c r="S13" s="1">
        <f t="shared" si="0"/>
        <v>0.48830000000000096</v>
      </c>
      <c r="T13" s="2">
        <f t="shared" si="1"/>
        <v>48.830000000000098</v>
      </c>
    </row>
    <row r="14" spans="1:24" x14ac:dyDescent="0.2">
      <c r="A14" t="s">
        <v>711</v>
      </c>
      <c r="D14">
        <v>37.316200000000002</v>
      </c>
      <c r="E14">
        <v>7.4979250000000004</v>
      </c>
      <c r="L14" t="s">
        <v>711</v>
      </c>
      <c r="M14">
        <v>0</v>
      </c>
      <c r="N14">
        <v>22.61</v>
      </c>
      <c r="O14">
        <v>37.316200000000002</v>
      </c>
      <c r="P14">
        <v>7.4979250000000004</v>
      </c>
      <c r="Q14">
        <v>7.2082750000000004</v>
      </c>
      <c r="R14">
        <v>0</v>
      </c>
      <c r="S14" s="1">
        <f t="shared" si="0"/>
        <v>0.71440000000000092</v>
      </c>
      <c r="T14" s="2">
        <f t="shared" si="1"/>
        <v>71.440000000000097</v>
      </c>
    </row>
    <row r="15" spans="1:24" x14ac:dyDescent="0.2">
      <c r="A15" t="s">
        <v>712</v>
      </c>
      <c r="D15">
        <v>39.503300000000003</v>
      </c>
      <c r="E15">
        <v>4.9405999999999999</v>
      </c>
      <c r="L15" t="s">
        <v>712</v>
      </c>
      <c r="M15">
        <v>0</v>
      </c>
      <c r="N15">
        <v>0</v>
      </c>
      <c r="O15">
        <v>39.503300000000003</v>
      </c>
      <c r="P15">
        <v>4.9405999999999999</v>
      </c>
      <c r="Q15">
        <v>34.562700000000007</v>
      </c>
      <c r="R15">
        <v>0</v>
      </c>
      <c r="S15" s="1">
        <f t="shared" si="0"/>
        <v>0.71440000000000092</v>
      </c>
      <c r="T15" s="2">
        <f t="shared" si="1"/>
        <v>71.440000000000097</v>
      </c>
    </row>
    <row r="16" spans="1:24" x14ac:dyDescent="0.2">
      <c r="A16" t="s">
        <v>713</v>
      </c>
      <c r="D16">
        <v>38.621273000000002</v>
      </c>
      <c r="E16">
        <v>10.0601</v>
      </c>
      <c r="L16" t="s">
        <v>713</v>
      </c>
      <c r="M16">
        <v>0</v>
      </c>
      <c r="N16">
        <v>28.561</v>
      </c>
      <c r="O16">
        <v>38.621273000000002</v>
      </c>
      <c r="P16">
        <v>10.0601</v>
      </c>
      <c r="Q16">
        <v>0</v>
      </c>
      <c r="R16">
        <v>0</v>
      </c>
      <c r="S16" s="1">
        <f t="shared" si="0"/>
        <v>1.000010000000001</v>
      </c>
      <c r="T16" s="2">
        <f t="shared" si="1"/>
        <v>100.00100000000009</v>
      </c>
    </row>
    <row r="17" spans="1:20" x14ac:dyDescent="0.2">
      <c r="A17" t="s">
        <v>714</v>
      </c>
      <c r="D17">
        <v>34.469273000000001</v>
      </c>
      <c r="E17">
        <v>10.0677</v>
      </c>
      <c r="L17" t="s">
        <v>714</v>
      </c>
      <c r="M17">
        <v>0</v>
      </c>
      <c r="N17">
        <v>0</v>
      </c>
      <c r="O17">
        <v>34.469273000000001</v>
      </c>
      <c r="P17">
        <v>10.0677</v>
      </c>
      <c r="Q17">
        <v>24.401572999999999</v>
      </c>
      <c r="R17">
        <v>0</v>
      </c>
      <c r="S17" s="1">
        <f t="shared" si="0"/>
        <v>1.000010000000001</v>
      </c>
      <c r="T17" s="2">
        <f t="shared" si="1"/>
        <v>100.00100000000009</v>
      </c>
    </row>
    <row r="18" spans="1:20" x14ac:dyDescent="0.2">
      <c r="A18" t="s">
        <v>715</v>
      </c>
      <c r="D18">
        <v>26.709949999999999</v>
      </c>
      <c r="E18">
        <v>9.7261000000000006</v>
      </c>
      <c r="L18" t="s">
        <v>715</v>
      </c>
      <c r="M18">
        <v>0</v>
      </c>
      <c r="N18">
        <v>0</v>
      </c>
      <c r="O18">
        <v>26.709949999999999</v>
      </c>
      <c r="P18">
        <v>9.7261000000000006</v>
      </c>
      <c r="Q18">
        <v>16.98385</v>
      </c>
      <c r="R18">
        <v>0</v>
      </c>
      <c r="S18" s="1">
        <f t="shared" si="0"/>
        <v>1.000010000000001</v>
      </c>
      <c r="T18" s="2">
        <f t="shared" si="1"/>
        <v>100.00100000000009</v>
      </c>
    </row>
    <row r="19" spans="1:20" x14ac:dyDescent="0.2">
      <c r="A19" t="s">
        <v>716</v>
      </c>
      <c r="D19">
        <v>14.837725000000001</v>
      </c>
      <c r="E19">
        <v>10.4895</v>
      </c>
      <c r="L19" t="s">
        <v>716</v>
      </c>
      <c r="M19">
        <v>0</v>
      </c>
      <c r="N19">
        <v>0</v>
      </c>
      <c r="O19">
        <v>14.837725000000001</v>
      </c>
      <c r="P19">
        <v>10.4895</v>
      </c>
      <c r="Q19">
        <v>4.3482250000000011</v>
      </c>
      <c r="R19">
        <v>0</v>
      </c>
      <c r="S19" s="1">
        <f t="shared" si="0"/>
        <v>1.000010000000001</v>
      </c>
      <c r="T19" s="2">
        <f t="shared" si="1"/>
        <v>100.00100000000009</v>
      </c>
    </row>
    <row r="20" spans="1:20" x14ac:dyDescent="0.2">
      <c r="A20" t="s">
        <v>717</v>
      </c>
      <c r="D20">
        <v>3.0960003999999999</v>
      </c>
      <c r="E20">
        <v>10.164849</v>
      </c>
      <c r="L20" t="s">
        <v>717</v>
      </c>
      <c r="M20">
        <v>7.069</v>
      </c>
      <c r="N20">
        <v>0</v>
      </c>
      <c r="O20">
        <v>3.0960003999999999</v>
      </c>
      <c r="P20">
        <v>10.164849</v>
      </c>
      <c r="Q20">
        <v>0</v>
      </c>
      <c r="R20">
        <v>0</v>
      </c>
      <c r="S20" s="1">
        <f t="shared" si="0"/>
        <v>0.92932000000000092</v>
      </c>
      <c r="T20" s="2">
        <f t="shared" si="1"/>
        <v>92.932000000000087</v>
      </c>
    </row>
    <row r="21" spans="1:20" x14ac:dyDescent="0.2">
      <c r="A21" t="s">
        <v>718</v>
      </c>
      <c r="D21">
        <v>0</v>
      </c>
      <c r="E21">
        <v>10.312400999999999</v>
      </c>
      <c r="L21" t="s">
        <v>718</v>
      </c>
      <c r="M21">
        <v>10.311999999999999</v>
      </c>
      <c r="N21">
        <v>0</v>
      </c>
      <c r="O21">
        <v>0</v>
      </c>
      <c r="P21">
        <v>10.312400999999999</v>
      </c>
      <c r="Q21">
        <v>0</v>
      </c>
      <c r="R21">
        <v>0</v>
      </c>
      <c r="S21" s="1">
        <f t="shared" si="0"/>
        <v>0.82620000000000093</v>
      </c>
      <c r="T21" s="2">
        <f t="shared" si="1"/>
        <v>82.62000000000009</v>
      </c>
    </row>
    <row r="22" spans="1:20" x14ac:dyDescent="0.2">
      <c r="A22" t="s">
        <v>719</v>
      </c>
      <c r="D22">
        <v>0</v>
      </c>
      <c r="E22">
        <v>7.2531999999999996</v>
      </c>
      <c r="L22" t="s">
        <v>719</v>
      </c>
      <c r="M22">
        <v>7.2530000000000001</v>
      </c>
      <c r="N22">
        <v>0</v>
      </c>
      <c r="O22">
        <v>0</v>
      </c>
      <c r="P22">
        <v>7.2531999999999996</v>
      </c>
      <c r="Q22">
        <v>0</v>
      </c>
      <c r="R22">
        <v>0</v>
      </c>
      <c r="S22" s="1">
        <f t="shared" si="0"/>
        <v>0.75367000000000095</v>
      </c>
      <c r="T22" s="2">
        <f t="shared" si="1"/>
        <v>75.36700000000009</v>
      </c>
    </row>
    <row r="23" spans="1:20" x14ac:dyDescent="0.2">
      <c r="A23" t="s">
        <v>720</v>
      </c>
      <c r="D23">
        <v>0</v>
      </c>
      <c r="E23">
        <v>7.1786003000000003</v>
      </c>
      <c r="L23" t="s">
        <v>720</v>
      </c>
      <c r="M23">
        <v>7.1790000000000003</v>
      </c>
      <c r="N23">
        <v>0</v>
      </c>
      <c r="O23">
        <v>0</v>
      </c>
      <c r="P23">
        <v>7.1786003000000003</v>
      </c>
      <c r="Q23">
        <v>0</v>
      </c>
      <c r="R23">
        <v>0</v>
      </c>
      <c r="S23" s="1">
        <f t="shared" si="0"/>
        <v>0.68188000000000093</v>
      </c>
      <c r="T23" s="2">
        <f t="shared" si="1"/>
        <v>68.188000000000088</v>
      </c>
    </row>
    <row r="24" spans="1:20" x14ac:dyDescent="0.2">
      <c r="A24" t="s">
        <v>721</v>
      </c>
      <c r="D24">
        <v>0</v>
      </c>
      <c r="E24">
        <v>10.313533</v>
      </c>
      <c r="L24" t="s">
        <v>721</v>
      </c>
      <c r="M24">
        <v>10.314</v>
      </c>
      <c r="N24">
        <v>0</v>
      </c>
      <c r="O24">
        <v>0</v>
      </c>
      <c r="P24">
        <v>10.313533</v>
      </c>
      <c r="Q24">
        <v>0</v>
      </c>
      <c r="R24">
        <v>0</v>
      </c>
      <c r="S24" s="1">
        <f t="shared" si="0"/>
        <v>0.57874000000000092</v>
      </c>
      <c r="T24" s="2">
        <f t="shared" si="1"/>
        <v>57.874000000000088</v>
      </c>
    </row>
    <row r="25" spans="1:20" x14ac:dyDescent="0.2">
      <c r="A25" t="s">
        <v>722</v>
      </c>
      <c r="D25">
        <v>0</v>
      </c>
      <c r="E25">
        <v>8.1935870000000008</v>
      </c>
      <c r="L25" t="s">
        <v>722</v>
      </c>
      <c r="M25">
        <v>8.1940000000000008</v>
      </c>
      <c r="N25">
        <v>0</v>
      </c>
      <c r="O25">
        <v>0</v>
      </c>
      <c r="P25">
        <v>8.1935870000000008</v>
      </c>
      <c r="Q25">
        <v>0</v>
      </c>
      <c r="R25">
        <v>0</v>
      </c>
      <c r="S25" s="1">
        <f t="shared" si="0"/>
        <v>0.49680000000000085</v>
      </c>
      <c r="T25" s="2">
        <f t="shared" si="1"/>
        <v>49.680000000000085</v>
      </c>
    </row>
    <row r="26" spans="1:20" x14ac:dyDescent="0.2">
      <c r="A26" t="s">
        <v>723</v>
      </c>
      <c r="D26">
        <v>0</v>
      </c>
      <c r="E26">
        <v>10.50095</v>
      </c>
      <c r="L26" t="s">
        <v>723</v>
      </c>
      <c r="M26">
        <v>10.500999999999999</v>
      </c>
      <c r="N26">
        <v>0</v>
      </c>
      <c r="O26">
        <v>0</v>
      </c>
      <c r="P26">
        <v>10.50095</v>
      </c>
      <c r="Q26">
        <v>0</v>
      </c>
      <c r="R26">
        <v>0</v>
      </c>
      <c r="S26" s="1">
        <f t="shared" si="0"/>
        <v>0.39179000000000086</v>
      </c>
      <c r="T26" s="2">
        <f t="shared" si="1"/>
        <v>39.179000000000087</v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X26"/>
  <sheetViews>
    <sheetView workbookViewId="0"/>
  </sheetViews>
  <sheetFormatPr baseColWidth="10" defaultColWidth="8.83203125" defaultRowHeight="15" x14ac:dyDescent="0.2"/>
  <sheetData>
    <row r="1" spans="1:24" x14ac:dyDescent="0.2">
      <c r="A1" t="s">
        <v>0</v>
      </c>
      <c r="D1" t="s">
        <v>1</v>
      </c>
      <c r="L1" t="s">
        <v>2</v>
      </c>
      <c r="R1" t="s">
        <v>3</v>
      </c>
      <c r="S1" s="1">
        <v>0.39179000000000103</v>
      </c>
      <c r="T1">
        <f>S1*V1</f>
        <v>39.179000000000102</v>
      </c>
      <c r="U1" t="s">
        <v>4</v>
      </c>
      <c r="V1">
        <v>100</v>
      </c>
      <c r="W1" t="s">
        <v>5</v>
      </c>
      <c r="X1" s="1">
        <v>0.1</v>
      </c>
    </row>
    <row r="2" spans="1:24" x14ac:dyDescent="0.2">
      <c r="A2" t="s">
        <v>6</v>
      </c>
      <c r="B2" t="s">
        <v>7</v>
      </c>
      <c r="C2" t="s">
        <v>8</v>
      </c>
      <c r="D2" t="s">
        <v>9</v>
      </c>
      <c r="E2" t="s">
        <v>10</v>
      </c>
      <c r="F2" t="s">
        <v>11</v>
      </c>
      <c r="G2" t="s">
        <v>12</v>
      </c>
      <c r="H2" t="s">
        <v>13</v>
      </c>
      <c r="I2" t="s">
        <v>14</v>
      </c>
      <c r="L2" t="s">
        <v>6</v>
      </c>
      <c r="M2" t="s">
        <v>7</v>
      </c>
      <c r="N2" t="s">
        <v>8</v>
      </c>
      <c r="O2" t="s">
        <v>9</v>
      </c>
      <c r="P2" t="s">
        <v>10</v>
      </c>
      <c r="Q2" t="s">
        <v>11</v>
      </c>
      <c r="R2" t="s">
        <v>12</v>
      </c>
      <c r="S2" t="s">
        <v>13</v>
      </c>
      <c r="T2" t="s">
        <v>14</v>
      </c>
      <c r="W2" t="s">
        <v>15</v>
      </c>
      <c r="X2" s="1">
        <v>1</v>
      </c>
    </row>
    <row r="3" spans="1:24" x14ac:dyDescent="0.2">
      <c r="A3" t="s">
        <v>724</v>
      </c>
      <c r="D3">
        <v>0</v>
      </c>
      <c r="E3">
        <v>9.821434</v>
      </c>
      <c r="L3" t="s">
        <v>724</v>
      </c>
      <c r="M3">
        <v>4.8860000000000001</v>
      </c>
      <c r="N3">
        <v>0</v>
      </c>
      <c r="O3">
        <v>0</v>
      </c>
      <c r="P3">
        <v>9.821434</v>
      </c>
      <c r="Q3">
        <v>0</v>
      </c>
      <c r="R3">
        <v>4.9354339999999999</v>
      </c>
      <c r="S3" s="1">
        <f t="shared" ref="S3:S26" si="0">T3/V$1</f>
        <v>0.34293000000000101</v>
      </c>
      <c r="T3" s="2">
        <f>T1-M3+N3</f>
        <v>34.293000000000099</v>
      </c>
    </row>
    <row r="4" spans="1:24" x14ac:dyDescent="0.2">
      <c r="A4" t="s">
        <v>725</v>
      </c>
      <c r="D4">
        <v>0</v>
      </c>
      <c r="E4">
        <v>8.5527669999999993</v>
      </c>
      <c r="L4" t="s">
        <v>725</v>
      </c>
      <c r="M4">
        <v>8.5530000000000008</v>
      </c>
      <c r="N4">
        <v>0</v>
      </c>
      <c r="O4">
        <v>0</v>
      </c>
      <c r="P4">
        <v>8.5527669999999993</v>
      </c>
      <c r="Q4">
        <v>0</v>
      </c>
      <c r="R4">
        <v>0</v>
      </c>
      <c r="S4" s="1">
        <f t="shared" si="0"/>
        <v>0.25740000000000096</v>
      </c>
      <c r="T4" s="2">
        <f t="shared" ref="T4:T26" si="1">T3-M4+N4</f>
        <v>25.740000000000098</v>
      </c>
    </row>
    <row r="5" spans="1:24" x14ac:dyDescent="0.2">
      <c r="A5" t="s">
        <v>726</v>
      </c>
      <c r="D5">
        <v>0</v>
      </c>
      <c r="E5">
        <v>7.2840999999999996</v>
      </c>
      <c r="L5" t="s">
        <v>726</v>
      </c>
      <c r="M5">
        <v>0</v>
      </c>
      <c r="N5">
        <v>0</v>
      </c>
      <c r="O5">
        <v>0</v>
      </c>
      <c r="P5">
        <v>7.2840999999999996</v>
      </c>
      <c r="Q5">
        <v>0</v>
      </c>
      <c r="R5">
        <v>7.2840999999999996</v>
      </c>
      <c r="S5" s="1">
        <f t="shared" si="0"/>
        <v>0.25740000000000096</v>
      </c>
      <c r="T5" s="2">
        <f t="shared" si="1"/>
        <v>25.740000000000098</v>
      </c>
    </row>
    <row r="6" spans="1:24" x14ac:dyDescent="0.2">
      <c r="A6" t="s">
        <v>727</v>
      </c>
      <c r="D6">
        <v>0</v>
      </c>
      <c r="E6">
        <v>7.0014500000000002</v>
      </c>
      <c r="L6" t="s">
        <v>727</v>
      </c>
      <c r="M6">
        <v>0</v>
      </c>
      <c r="N6">
        <v>0</v>
      </c>
      <c r="O6">
        <v>0</v>
      </c>
      <c r="P6">
        <v>7.0014500000000002</v>
      </c>
      <c r="Q6">
        <v>0</v>
      </c>
      <c r="R6">
        <v>7.0014500000000002</v>
      </c>
      <c r="S6" s="1">
        <f t="shared" si="0"/>
        <v>0.25740000000000096</v>
      </c>
      <c r="T6" s="2">
        <f t="shared" si="1"/>
        <v>25.740000000000098</v>
      </c>
      <c r="V6" t="s">
        <v>20</v>
      </c>
      <c r="W6" t="s">
        <v>728</v>
      </c>
    </row>
    <row r="7" spans="1:24" x14ac:dyDescent="0.2">
      <c r="A7" t="s">
        <v>729</v>
      </c>
      <c r="D7">
        <v>0</v>
      </c>
      <c r="E7">
        <v>6.9135669999999996</v>
      </c>
      <c r="L7" t="s">
        <v>729</v>
      </c>
      <c r="M7">
        <v>6.9139999999999997</v>
      </c>
      <c r="N7">
        <v>0</v>
      </c>
      <c r="O7">
        <v>0</v>
      </c>
      <c r="P7">
        <v>6.9135669999999996</v>
      </c>
      <c r="Q7">
        <v>0</v>
      </c>
      <c r="R7">
        <v>0</v>
      </c>
      <c r="S7" s="1">
        <f t="shared" si="0"/>
        <v>0.18826000000000101</v>
      </c>
      <c r="T7" s="2">
        <f t="shared" si="1"/>
        <v>18.8260000000001</v>
      </c>
      <c r="V7" t="s">
        <v>23</v>
      </c>
      <c r="W7" t="s">
        <v>24</v>
      </c>
    </row>
    <row r="8" spans="1:24" x14ac:dyDescent="0.2">
      <c r="A8" t="s">
        <v>730</v>
      </c>
      <c r="D8">
        <v>0</v>
      </c>
      <c r="E8">
        <v>7.5998999999999999</v>
      </c>
      <c r="L8" t="s">
        <v>730</v>
      </c>
      <c r="M8">
        <v>0</v>
      </c>
      <c r="N8">
        <v>0</v>
      </c>
      <c r="O8">
        <v>0</v>
      </c>
      <c r="P8">
        <v>7.5998999999999999</v>
      </c>
      <c r="Q8">
        <v>0</v>
      </c>
      <c r="R8">
        <v>7.5998999999999999</v>
      </c>
      <c r="S8" s="1">
        <f t="shared" si="0"/>
        <v>0.18826000000000101</v>
      </c>
      <c r="T8" s="2">
        <f t="shared" si="1"/>
        <v>18.8260000000001</v>
      </c>
      <c r="V8" t="s">
        <v>26</v>
      </c>
      <c r="W8">
        <v>8.2000000000000003E-2</v>
      </c>
    </row>
    <row r="9" spans="1:24" x14ac:dyDescent="0.2">
      <c r="A9" t="s">
        <v>731</v>
      </c>
      <c r="D9">
        <v>0</v>
      </c>
      <c r="E9">
        <v>6.9732500000000002</v>
      </c>
      <c r="L9" t="s">
        <v>731</v>
      </c>
      <c r="M9">
        <v>0</v>
      </c>
      <c r="N9">
        <v>0</v>
      </c>
      <c r="O9">
        <v>0</v>
      </c>
      <c r="P9">
        <v>6.9732500000000002</v>
      </c>
      <c r="Q9">
        <v>0</v>
      </c>
      <c r="R9">
        <v>6.9732500000000002</v>
      </c>
      <c r="S9" s="1">
        <f t="shared" si="0"/>
        <v>0.18826000000000101</v>
      </c>
      <c r="T9" s="2">
        <f t="shared" si="1"/>
        <v>18.8260000000001</v>
      </c>
      <c r="V9" t="s">
        <v>28</v>
      </c>
      <c r="W9">
        <f>W8/60</f>
        <v>1.3666666666666666E-3</v>
      </c>
    </row>
    <row r="10" spans="1:24" x14ac:dyDescent="0.2">
      <c r="A10" t="s">
        <v>732</v>
      </c>
      <c r="D10">
        <v>0.17610005000000001</v>
      </c>
      <c r="E10">
        <v>6.86</v>
      </c>
      <c r="L10" t="s">
        <v>732</v>
      </c>
      <c r="M10">
        <v>6.6840000000000002</v>
      </c>
      <c r="N10">
        <v>0</v>
      </c>
      <c r="O10">
        <v>0.17610005000000001</v>
      </c>
      <c r="P10">
        <v>6.86</v>
      </c>
      <c r="Q10">
        <v>0</v>
      </c>
      <c r="R10">
        <v>0</v>
      </c>
      <c r="S10" s="1">
        <f t="shared" si="0"/>
        <v>0.12142000000000099</v>
      </c>
      <c r="T10" s="2">
        <f t="shared" si="1"/>
        <v>12.142000000000099</v>
      </c>
    </row>
    <row r="11" spans="1:24" x14ac:dyDescent="0.2">
      <c r="A11" t="s">
        <v>733</v>
      </c>
      <c r="D11">
        <v>4.6650505000000004</v>
      </c>
      <c r="E11">
        <v>6.8083</v>
      </c>
      <c r="L11" t="s">
        <v>733</v>
      </c>
      <c r="M11">
        <v>2.1429999999999998</v>
      </c>
      <c r="N11">
        <v>0</v>
      </c>
      <c r="O11">
        <v>4.6650505000000004</v>
      </c>
      <c r="P11">
        <v>6.8083</v>
      </c>
      <c r="Q11">
        <v>0</v>
      </c>
      <c r="R11">
        <v>0</v>
      </c>
      <c r="S11" s="1">
        <f t="shared" si="0"/>
        <v>9.9990000000000981E-2</v>
      </c>
      <c r="T11" s="2">
        <f t="shared" si="1"/>
        <v>9.9990000000000983</v>
      </c>
    </row>
    <row r="12" spans="1:24" x14ac:dyDescent="0.2">
      <c r="A12" t="s">
        <v>734</v>
      </c>
      <c r="D12">
        <v>23.262224</v>
      </c>
      <c r="E12">
        <v>6.8533670000000004</v>
      </c>
      <c r="L12" t="s">
        <v>734</v>
      </c>
      <c r="M12">
        <v>0</v>
      </c>
      <c r="N12">
        <v>0</v>
      </c>
      <c r="O12">
        <v>23.262224</v>
      </c>
      <c r="P12">
        <v>6.8533670000000004</v>
      </c>
      <c r="Q12">
        <v>16.408857000000001</v>
      </c>
      <c r="R12">
        <v>0</v>
      </c>
      <c r="S12" s="1">
        <f t="shared" si="0"/>
        <v>9.9990000000000981E-2</v>
      </c>
      <c r="T12" s="2">
        <f t="shared" si="1"/>
        <v>9.9990000000000983</v>
      </c>
    </row>
    <row r="13" spans="1:24" x14ac:dyDescent="0.2">
      <c r="A13" t="s">
        <v>735</v>
      </c>
      <c r="D13">
        <v>34.152102999999997</v>
      </c>
      <c r="E13">
        <v>6.83725</v>
      </c>
      <c r="L13" t="s">
        <v>735</v>
      </c>
      <c r="M13">
        <v>0</v>
      </c>
      <c r="N13">
        <v>0</v>
      </c>
      <c r="O13">
        <v>34.152102999999997</v>
      </c>
      <c r="P13">
        <v>6.83725</v>
      </c>
      <c r="Q13">
        <v>27.314852999999999</v>
      </c>
      <c r="R13">
        <v>0</v>
      </c>
      <c r="S13" s="1">
        <f t="shared" si="0"/>
        <v>9.9990000000000981E-2</v>
      </c>
      <c r="T13" s="2">
        <f t="shared" si="1"/>
        <v>9.9990000000000983</v>
      </c>
    </row>
    <row r="14" spans="1:24" x14ac:dyDescent="0.2">
      <c r="A14" t="s">
        <v>736</v>
      </c>
      <c r="D14">
        <v>39.101948</v>
      </c>
      <c r="E14">
        <v>6.8211329999999997</v>
      </c>
      <c r="L14" t="s">
        <v>736</v>
      </c>
      <c r="M14">
        <v>0</v>
      </c>
      <c r="N14">
        <v>32.280999999999999</v>
      </c>
      <c r="O14">
        <v>39.101948</v>
      </c>
      <c r="P14">
        <v>6.8211329999999997</v>
      </c>
      <c r="Q14">
        <v>0</v>
      </c>
      <c r="R14">
        <v>0</v>
      </c>
      <c r="S14" s="1">
        <f t="shared" si="0"/>
        <v>0.42280000000000101</v>
      </c>
      <c r="T14" s="2">
        <f t="shared" si="1"/>
        <v>42.280000000000101</v>
      </c>
    </row>
    <row r="15" spans="1:24" x14ac:dyDescent="0.2">
      <c r="A15" t="s">
        <v>737</v>
      </c>
      <c r="D15">
        <v>40.674022999999998</v>
      </c>
      <c r="E15">
        <v>6.7408666999999998</v>
      </c>
      <c r="L15" t="s">
        <v>737</v>
      </c>
      <c r="M15">
        <v>0</v>
      </c>
      <c r="N15">
        <v>17.786999999999999</v>
      </c>
      <c r="O15">
        <v>40.674022999999998</v>
      </c>
      <c r="P15">
        <v>6.7408666999999998</v>
      </c>
      <c r="Q15">
        <v>16.146156300000001</v>
      </c>
      <c r="R15">
        <v>0</v>
      </c>
      <c r="S15" s="1">
        <f t="shared" si="0"/>
        <v>0.60067000000000104</v>
      </c>
      <c r="T15" s="2">
        <f t="shared" si="1"/>
        <v>60.0670000000001</v>
      </c>
    </row>
    <row r="16" spans="1:24" x14ac:dyDescent="0.2">
      <c r="A16" t="s">
        <v>738</v>
      </c>
      <c r="D16">
        <v>39.700226000000001</v>
      </c>
      <c r="E16">
        <v>6.8238500000000002</v>
      </c>
      <c r="L16" t="s">
        <v>738</v>
      </c>
      <c r="M16">
        <v>0</v>
      </c>
      <c r="N16">
        <v>0</v>
      </c>
      <c r="O16">
        <v>39.700226000000001</v>
      </c>
      <c r="P16">
        <v>6.8238500000000002</v>
      </c>
      <c r="Q16">
        <v>32.876376</v>
      </c>
      <c r="R16">
        <v>0</v>
      </c>
      <c r="S16" s="1">
        <f t="shared" si="0"/>
        <v>0.60067000000000104</v>
      </c>
      <c r="T16" s="2">
        <f t="shared" si="1"/>
        <v>60.0670000000001</v>
      </c>
    </row>
    <row r="17" spans="1:20" x14ac:dyDescent="0.2">
      <c r="A17" t="s">
        <v>739</v>
      </c>
      <c r="D17">
        <v>36.227849999999997</v>
      </c>
      <c r="E17">
        <v>7.0750999999999999</v>
      </c>
      <c r="L17" t="s">
        <v>739</v>
      </c>
      <c r="M17">
        <v>0</v>
      </c>
      <c r="N17">
        <v>29.152999999999999</v>
      </c>
      <c r="O17">
        <v>36.227849999999997</v>
      </c>
      <c r="P17">
        <v>7.0750999999999999</v>
      </c>
      <c r="Q17">
        <v>0</v>
      </c>
      <c r="R17">
        <v>0</v>
      </c>
      <c r="S17" s="1">
        <f t="shared" si="0"/>
        <v>0.89220000000000099</v>
      </c>
      <c r="T17" s="2">
        <f t="shared" si="1"/>
        <v>89.220000000000098</v>
      </c>
    </row>
    <row r="18" spans="1:20" x14ac:dyDescent="0.2">
      <c r="A18" t="s">
        <v>740</v>
      </c>
      <c r="D18">
        <v>29.230098999999999</v>
      </c>
      <c r="E18">
        <v>6.9203996999999999</v>
      </c>
      <c r="L18" t="s">
        <v>740</v>
      </c>
      <c r="M18">
        <v>0</v>
      </c>
      <c r="N18">
        <v>0</v>
      </c>
      <c r="O18">
        <v>29.230098999999999</v>
      </c>
      <c r="P18">
        <v>6.9203996999999999</v>
      </c>
      <c r="Q18">
        <v>22.309699299999998</v>
      </c>
      <c r="R18">
        <v>0</v>
      </c>
      <c r="S18" s="1">
        <f t="shared" si="0"/>
        <v>0.89220000000000099</v>
      </c>
      <c r="T18" s="2">
        <f t="shared" si="1"/>
        <v>89.220000000000098</v>
      </c>
    </row>
    <row r="19" spans="1:20" x14ac:dyDescent="0.2">
      <c r="A19" t="s">
        <v>741</v>
      </c>
      <c r="D19">
        <v>17.615599</v>
      </c>
      <c r="E19">
        <v>6.8366002999999997</v>
      </c>
      <c r="L19" t="s">
        <v>741</v>
      </c>
      <c r="M19">
        <v>0</v>
      </c>
      <c r="N19">
        <v>10.779</v>
      </c>
      <c r="O19">
        <v>17.615599</v>
      </c>
      <c r="P19">
        <v>6.8366002999999997</v>
      </c>
      <c r="Q19">
        <v>0</v>
      </c>
      <c r="R19">
        <v>0</v>
      </c>
      <c r="S19" s="1">
        <f t="shared" si="0"/>
        <v>0.99999000000000093</v>
      </c>
      <c r="T19" s="2">
        <f t="shared" si="1"/>
        <v>99.999000000000095</v>
      </c>
    </row>
    <row r="20" spans="1:20" x14ac:dyDescent="0.2">
      <c r="A20" t="s">
        <v>742</v>
      </c>
      <c r="D20">
        <v>3.7959752</v>
      </c>
      <c r="E20">
        <v>7.0975000000000001</v>
      </c>
      <c r="L20" t="s">
        <v>742</v>
      </c>
      <c r="M20">
        <v>3.302</v>
      </c>
      <c r="N20">
        <v>0</v>
      </c>
      <c r="O20">
        <v>3.7959752</v>
      </c>
      <c r="P20">
        <v>7.0975000000000001</v>
      </c>
      <c r="Q20">
        <v>0</v>
      </c>
      <c r="R20">
        <v>0</v>
      </c>
      <c r="S20" s="1">
        <f t="shared" si="0"/>
        <v>0.96697000000000088</v>
      </c>
      <c r="T20" s="2">
        <f t="shared" si="1"/>
        <v>96.697000000000088</v>
      </c>
    </row>
    <row r="21" spans="1:20" x14ac:dyDescent="0.2">
      <c r="A21" t="s">
        <v>743</v>
      </c>
      <c r="D21">
        <v>0</v>
      </c>
      <c r="E21">
        <v>4.9593996999999996</v>
      </c>
      <c r="L21" t="s">
        <v>743</v>
      </c>
      <c r="M21">
        <v>4.9589999999999996</v>
      </c>
      <c r="N21">
        <v>0</v>
      </c>
      <c r="O21">
        <v>0</v>
      </c>
      <c r="P21">
        <v>4.9593996999999996</v>
      </c>
      <c r="Q21">
        <v>0</v>
      </c>
      <c r="R21">
        <v>0</v>
      </c>
      <c r="S21" s="1">
        <f t="shared" si="0"/>
        <v>0.91738000000000086</v>
      </c>
      <c r="T21" s="2">
        <f t="shared" si="1"/>
        <v>91.738000000000085</v>
      </c>
    </row>
    <row r="22" spans="1:20" x14ac:dyDescent="0.2">
      <c r="A22" t="s">
        <v>744</v>
      </c>
      <c r="D22">
        <v>0</v>
      </c>
      <c r="E22">
        <v>5.5475000000000003</v>
      </c>
      <c r="L22" t="s">
        <v>744</v>
      </c>
      <c r="M22">
        <v>5.548</v>
      </c>
      <c r="N22">
        <v>0</v>
      </c>
      <c r="O22">
        <v>0</v>
      </c>
      <c r="P22">
        <v>5.5475000000000003</v>
      </c>
      <c r="Q22">
        <v>0</v>
      </c>
      <c r="R22">
        <v>0</v>
      </c>
      <c r="S22" s="1">
        <f t="shared" si="0"/>
        <v>0.86190000000000078</v>
      </c>
      <c r="T22" s="2">
        <f t="shared" si="1"/>
        <v>86.190000000000083</v>
      </c>
    </row>
    <row r="23" spans="1:20" x14ac:dyDescent="0.2">
      <c r="A23" t="s">
        <v>745</v>
      </c>
      <c r="D23">
        <v>0</v>
      </c>
      <c r="E23">
        <v>6.2207664999999999</v>
      </c>
      <c r="L23" t="s">
        <v>745</v>
      </c>
      <c r="M23">
        <v>6.2210000000000001</v>
      </c>
      <c r="N23">
        <v>0</v>
      </c>
      <c r="O23">
        <v>0</v>
      </c>
      <c r="P23">
        <v>6.2207664999999999</v>
      </c>
      <c r="Q23">
        <v>0</v>
      </c>
      <c r="R23">
        <v>0</v>
      </c>
      <c r="S23" s="1">
        <f t="shared" si="0"/>
        <v>0.79969000000000079</v>
      </c>
      <c r="T23" s="2">
        <f t="shared" si="1"/>
        <v>79.969000000000079</v>
      </c>
    </row>
    <row r="24" spans="1:20" x14ac:dyDescent="0.2">
      <c r="A24" t="s">
        <v>746</v>
      </c>
      <c r="D24">
        <v>0</v>
      </c>
      <c r="E24">
        <v>6.8940333999999996</v>
      </c>
      <c r="L24" t="s">
        <v>746</v>
      </c>
      <c r="M24">
        <v>6.8940000000000001</v>
      </c>
      <c r="N24">
        <v>0</v>
      </c>
      <c r="O24">
        <v>0</v>
      </c>
      <c r="P24">
        <v>6.8940333999999996</v>
      </c>
      <c r="Q24">
        <v>0</v>
      </c>
      <c r="R24">
        <v>0</v>
      </c>
      <c r="S24" s="1">
        <f t="shared" si="0"/>
        <v>0.73075000000000079</v>
      </c>
      <c r="T24" s="2">
        <f t="shared" si="1"/>
        <v>73.075000000000074</v>
      </c>
    </row>
    <row r="25" spans="1:20" x14ac:dyDescent="0.2">
      <c r="A25" t="s">
        <v>747</v>
      </c>
      <c r="D25">
        <v>0</v>
      </c>
      <c r="E25">
        <v>6.7363999999999997</v>
      </c>
      <c r="L25" t="s">
        <v>747</v>
      </c>
      <c r="M25">
        <v>6.7359999999999998</v>
      </c>
      <c r="N25">
        <v>0</v>
      </c>
      <c r="O25">
        <v>0</v>
      </c>
      <c r="P25">
        <v>6.7363999999999997</v>
      </c>
      <c r="Q25">
        <v>0</v>
      </c>
      <c r="R25">
        <v>0</v>
      </c>
      <c r="S25" s="1">
        <f t="shared" si="0"/>
        <v>0.6633900000000007</v>
      </c>
      <c r="T25" s="2">
        <f t="shared" si="1"/>
        <v>66.33900000000007</v>
      </c>
    </row>
    <row r="26" spans="1:20" x14ac:dyDescent="0.2">
      <c r="A26" t="s">
        <v>748</v>
      </c>
      <c r="D26">
        <v>0</v>
      </c>
      <c r="E26">
        <v>6.7503500000000001</v>
      </c>
      <c r="L26" t="s">
        <v>748</v>
      </c>
      <c r="M26">
        <v>6.75</v>
      </c>
      <c r="N26">
        <v>0</v>
      </c>
      <c r="O26">
        <v>0</v>
      </c>
      <c r="P26">
        <v>6.7503500000000001</v>
      </c>
      <c r="Q26">
        <v>0</v>
      </c>
      <c r="R26">
        <v>0</v>
      </c>
      <c r="S26" s="1">
        <f t="shared" si="0"/>
        <v>0.5958900000000007</v>
      </c>
      <c r="T26" s="2">
        <f t="shared" si="1"/>
        <v>59.58900000000007</v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:X26"/>
  <sheetViews>
    <sheetView workbookViewId="0"/>
  </sheetViews>
  <sheetFormatPr baseColWidth="10" defaultColWidth="8.83203125" defaultRowHeight="15" x14ac:dyDescent="0.2"/>
  <sheetData>
    <row r="1" spans="1:24" x14ac:dyDescent="0.2">
      <c r="A1" t="s">
        <v>0</v>
      </c>
      <c r="D1" t="s">
        <v>1</v>
      </c>
      <c r="L1" t="s">
        <v>2</v>
      </c>
      <c r="R1" t="s">
        <v>3</v>
      </c>
      <c r="S1" s="1">
        <v>0.5958900000000007</v>
      </c>
      <c r="T1">
        <f>S1*V1</f>
        <v>59.58900000000007</v>
      </c>
      <c r="U1" t="s">
        <v>4</v>
      </c>
      <c r="V1">
        <v>100</v>
      </c>
      <c r="W1" t="s">
        <v>5</v>
      </c>
      <c r="X1" s="1">
        <v>0.1</v>
      </c>
    </row>
    <row r="2" spans="1:24" x14ac:dyDescent="0.2">
      <c r="A2" t="s">
        <v>6</v>
      </c>
      <c r="B2" t="s">
        <v>7</v>
      </c>
      <c r="C2" t="s">
        <v>8</v>
      </c>
      <c r="D2" t="s">
        <v>9</v>
      </c>
      <c r="E2" t="s">
        <v>10</v>
      </c>
      <c r="F2" t="s">
        <v>11</v>
      </c>
      <c r="G2" t="s">
        <v>12</v>
      </c>
      <c r="H2" t="s">
        <v>13</v>
      </c>
      <c r="I2" t="s">
        <v>14</v>
      </c>
      <c r="L2" t="s">
        <v>6</v>
      </c>
      <c r="M2" t="s">
        <v>7</v>
      </c>
      <c r="N2" t="s">
        <v>8</v>
      </c>
      <c r="O2" t="s">
        <v>9</v>
      </c>
      <c r="P2" t="s">
        <v>10</v>
      </c>
      <c r="Q2" t="s">
        <v>11</v>
      </c>
      <c r="R2" t="s">
        <v>12</v>
      </c>
      <c r="S2" t="s">
        <v>13</v>
      </c>
      <c r="T2" t="s">
        <v>14</v>
      </c>
      <c r="W2" t="s">
        <v>15</v>
      </c>
      <c r="X2" s="1">
        <v>1</v>
      </c>
    </row>
    <row r="3" spans="1:24" x14ac:dyDescent="0.2">
      <c r="A3" t="s">
        <v>749</v>
      </c>
      <c r="D3">
        <v>0</v>
      </c>
      <c r="E3">
        <v>6.6499110000000003</v>
      </c>
      <c r="L3" t="s">
        <v>749</v>
      </c>
      <c r="M3">
        <v>6.65</v>
      </c>
      <c r="N3">
        <v>0</v>
      </c>
      <c r="O3">
        <v>0</v>
      </c>
      <c r="P3">
        <v>6.6499110000000003</v>
      </c>
      <c r="Q3">
        <v>0</v>
      </c>
      <c r="R3">
        <v>0</v>
      </c>
      <c r="S3" s="1">
        <f t="shared" ref="S3:S26" si="0">T3/V$1</f>
        <v>0.52939000000000069</v>
      </c>
      <c r="T3" s="2">
        <f>T1-M3+N3</f>
        <v>52.939000000000071</v>
      </c>
    </row>
    <row r="4" spans="1:24" x14ac:dyDescent="0.2">
      <c r="A4" t="s">
        <v>750</v>
      </c>
      <c r="D4">
        <v>0</v>
      </c>
      <c r="E4">
        <v>6.7643000000000004</v>
      </c>
      <c r="L4" t="s">
        <v>750</v>
      </c>
      <c r="M4">
        <v>6.7640000000000002</v>
      </c>
      <c r="N4">
        <v>0</v>
      </c>
      <c r="O4">
        <v>0</v>
      </c>
      <c r="P4">
        <v>6.7643000000000004</v>
      </c>
      <c r="Q4">
        <v>0</v>
      </c>
      <c r="R4">
        <v>0</v>
      </c>
      <c r="S4" s="1">
        <f t="shared" si="0"/>
        <v>0.46175000000000066</v>
      </c>
      <c r="T4" s="2">
        <f t="shared" ref="T4:T26" si="1">T3-M4+N4</f>
        <v>46.175000000000068</v>
      </c>
    </row>
    <row r="5" spans="1:24" x14ac:dyDescent="0.2">
      <c r="A5" t="s">
        <v>751</v>
      </c>
      <c r="D5">
        <v>0</v>
      </c>
      <c r="E5">
        <v>6.7719502</v>
      </c>
      <c r="L5" t="s">
        <v>751</v>
      </c>
      <c r="M5">
        <v>6.7720000000000002</v>
      </c>
      <c r="N5">
        <v>0</v>
      </c>
      <c r="O5">
        <v>0</v>
      </c>
      <c r="P5">
        <v>6.7719502</v>
      </c>
      <c r="Q5">
        <v>0</v>
      </c>
      <c r="R5">
        <v>0</v>
      </c>
      <c r="S5" s="1">
        <f t="shared" si="0"/>
        <v>0.39403000000000071</v>
      </c>
      <c r="T5" s="2">
        <f t="shared" si="1"/>
        <v>39.40300000000007</v>
      </c>
    </row>
    <row r="6" spans="1:24" x14ac:dyDescent="0.2">
      <c r="A6" t="s">
        <v>752</v>
      </c>
      <c r="D6">
        <v>0</v>
      </c>
      <c r="E6">
        <v>6.8012003999999999</v>
      </c>
      <c r="L6" t="s">
        <v>752</v>
      </c>
      <c r="M6">
        <v>6.8010000000000002</v>
      </c>
      <c r="N6">
        <v>0</v>
      </c>
      <c r="O6">
        <v>0</v>
      </c>
      <c r="P6">
        <v>6.8012003999999999</v>
      </c>
      <c r="Q6">
        <v>0</v>
      </c>
      <c r="R6">
        <v>0</v>
      </c>
      <c r="S6" s="1">
        <f t="shared" si="0"/>
        <v>0.3260200000000007</v>
      </c>
      <c r="T6" s="2">
        <f t="shared" si="1"/>
        <v>32.602000000000068</v>
      </c>
      <c r="V6" t="s">
        <v>20</v>
      </c>
      <c r="W6" t="s">
        <v>753</v>
      </c>
    </row>
    <row r="7" spans="1:24" x14ac:dyDescent="0.2">
      <c r="A7" t="s">
        <v>754</v>
      </c>
      <c r="D7">
        <v>0</v>
      </c>
      <c r="E7">
        <v>6.7655669999999999</v>
      </c>
      <c r="L7" t="s">
        <v>754</v>
      </c>
      <c r="M7">
        <v>6.766</v>
      </c>
      <c r="N7">
        <v>0</v>
      </c>
      <c r="O7">
        <v>0</v>
      </c>
      <c r="P7">
        <v>6.7655669999999999</v>
      </c>
      <c r="Q7">
        <v>0</v>
      </c>
      <c r="R7">
        <v>0</v>
      </c>
      <c r="S7" s="1">
        <f t="shared" si="0"/>
        <v>0.2583600000000007</v>
      </c>
      <c r="T7" s="2">
        <f t="shared" si="1"/>
        <v>25.83600000000007</v>
      </c>
      <c r="V7" t="s">
        <v>23</v>
      </c>
      <c r="W7" t="s">
        <v>454</v>
      </c>
    </row>
    <row r="8" spans="1:24" x14ac:dyDescent="0.2">
      <c r="A8" t="s">
        <v>755</v>
      </c>
      <c r="D8">
        <v>0</v>
      </c>
      <c r="E8">
        <v>6.7402996999999996</v>
      </c>
      <c r="L8" t="s">
        <v>755</v>
      </c>
      <c r="M8">
        <v>6.74</v>
      </c>
      <c r="N8">
        <v>0</v>
      </c>
      <c r="O8">
        <v>0</v>
      </c>
      <c r="P8">
        <v>6.7402996999999996</v>
      </c>
      <c r="Q8">
        <v>0</v>
      </c>
      <c r="R8">
        <v>0</v>
      </c>
      <c r="S8" s="1">
        <f t="shared" si="0"/>
        <v>0.19096000000000068</v>
      </c>
      <c r="T8" s="2">
        <f t="shared" si="1"/>
        <v>19.096000000000068</v>
      </c>
      <c r="V8" t="s">
        <v>26</v>
      </c>
      <c r="W8">
        <v>8.4000000000000005E-2</v>
      </c>
    </row>
    <row r="9" spans="1:24" x14ac:dyDescent="0.2">
      <c r="A9" t="s">
        <v>756</v>
      </c>
      <c r="D9">
        <v>0</v>
      </c>
      <c r="E9">
        <v>4.9451999999999998</v>
      </c>
      <c r="L9" t="s">
        <v>756</v>
      </c>
      <c r="M9">
        <v>4.9450000000000003</v>
      </c>
      <c r="N9">
        <v>0</v>
      </c>
      <c r="O9">
        <v>0</v>
      </c>
      <c r="P9">
        <v>4.9451999999999998</v>
      </c>
      <c r="Q9">
        <v>0</v>
      </c>
      <c r="R9">
        <v>0</v>
      </c>
      <c r="S9" s="1">
        <f t="shared" si="0"/>
        <v>0.14151000000000066</v>
      </c>
      <c r="T9" s="2">
        <f t="shared" si="1"/>
        <v>14.151000000000067</v>
      </c>
      <c r="V9" t="s">
        <v>28</v>
      </c>
      <c r="W9">
        <f>W8/60</f>
        <v>1.4E-3</v>
      </c>
    </row>
    <row r="10" spans="1:24" x14ac:dyDescent="0.2">
      <c r="A10" t="s">
        <v>757</v>
      </c>
      <c r="D10">
        <v>6.6574670000000002E-2</v>
      </c>
      <c r="E10">
        <v>4.9402999999999997</v>
      </c>
      <c r="L10" t="s">
        <v>757</v>
      </c>
      <c r="M10">
        <v>1.5820000000000001</v>
      </c>
      <c r="N10">
        <v>0</v>
      </c>
      <c r="O10">
        <v>6.6574670000000002E-2</v>
      </c>
      <c r="P10">
        <v>4.9402999999999997</v>
      </c>
      <c r="Q10">
        <v>0</v>
      </c>
      <c r="R10">
        <v>3.2917253299999998</v>
      </c>
      <c r="S10" s="1">
        <f t="shared" si="0"/>
        <v>0.12569000000000066</v>
      </c>
      <c r="T10" s="2">
        <f t="shared" si="1"/>
        <v>12.569000000000067</v>
      </c>
    </row>
    <row r="11" spans="1:24" x14ac:dyDescent="0.2">
      <c r="A11" t="s">
        <v>758</v>
      </c>
      <c r="D11">
        <v>4.3514249999999999</v>
      </c>
      <c r="E11">
        <v>6.9198599999999999</v>
      </c>
      <c r="L11" t="s">
        <v>758</v>
      </c>
      <c r="M11">
        <v>2.5680000000000001</v>
      </c>
      <c r="N11">
        <v>0</v>
      </c>
      <c r="O11">
        <v>4.3514249999999999</v>
      </c>
      <c r="P11">
        <v>6.9198599999999999</v>
      </c>
      <c r="Q11">
        <v>0</v>
      </c>
      <c r="R11">
        <v>0</v>
      </c>
      <c r="S11" s="1">
        <f t="shared" si="0"/>
        <v>0.10001000000000067</v>
      </c>
      <c r="T11" s="2">
        <f t="shared" si="1"/>
        <v>10.001000000000067</v>
      </c>
    </row>
    <row r="12" spans="1:24" x14ac:dyDescent="0.2">
      <c r="A12" t="s">
        <v>759</v>
      </c>
      <c r="D12">
        <v>22.882674999999999</v>
      </c>
      <c r="E12">
        <v>8.8994199999999992</v>
      </c>
      <c r="L12" t="s">
        <v>759</v>
      </c>
      <c r="M12">
        <v>0</v>
      </c>
      <c r="N12">
        <v>13.983000000000001</v>
      </c>
      <c r="O12">
        <v>22.882674999999999</v>
      </c>
      <c r="P12">
        <v>8.8994199999999992</v>
      </c>
      <c r="Q12">
        <v>0</v>
      </c>
      <c r="R12">
        <v>0</v>
      </c>
      <c r="S12" s="1">
        <f t="shared" si="0"/>
        <v>0.23984000000000066</v>
      </c>
      <c r="T12" s="2">
        <f t="shared" si="1"/>
        <v>23.984000000000066</v>
      </c>
    </row>
    <row r="13" spans="1:24" x14ac:dyDescent="0.2">
      <c r="A13" t="s">
        <v>760</v>
      </c>
      <c r="D13">
        <v>33.926250000000003</v>
      </c>
      <c r="E13">
        <v>6.3876600000000003</v>
      </c>
      <c r="L13" t="s">
        <v>760</v>
      </c>
      <c r="M13">
        <v>0</v>
      </c>
      <c r="N13">
        <v>27.539000000000001</v>
      </c>
      <c r="O13">
        <v>33.926250000000003</v>
      </c>
      <c r="P13">
        <v>6.3876600000000003</v>
      </c>
      <c r="Q13">
        <v>0</v>
      </c>
      <c r="R13">
        <v>0</v>
      </c>
      <c r="S13" s="1">
        <f t="shared" si="0"/>
        <v>0.51523000000000063</v>
      </c>
      <c r="T13" s="2">
        <f t="shared" si="1"/>
        <v>51.523000000000067</v>
      </c>
    </row>
    <row r="14" spans="1:24" x14ac:dyDescent="0.2">
      <c r="A14" t="s">
        <v>761</v>
      </c>
      <c r="D14">
        <v>39.521872999999999</v>
      </c>
      <c r="E14">
        <v>5.8581500000000002</v>
      </c>
      <c r="L14" t="s">
        <v>761</v>
      </c>
      <c r="M14">
        <v>0</v>
      </c>
      <c r="N14">
        <v>33.664000000000001</v>
      </c>
      <c r="O14">
        <v>39.521872999999999</v>
      </c>
      <c r="P14">
        <v>5.8581500000000002</v>
      </c>
      <c r="Q14">
        <v>0</v>
      </c>
      <c r="R14">
        <v>0</v>
      </c>
      <c r="S14" s="1">
        <f t="shared" si="0"/>
        <v>0.85187000000000068</v>
      </c>
      <c r="T14" s="2">
        <f t="shared" si="1"/>
        <v>85.187000000000069</v>
      </c>
    </row>
    <row r="15" spans="1:24" x14ac:dyDescent="0.2">
      <c r="A15" t="s">
        <v>762</v>
      </c>
      <c r="D15">
        <v>41.571021999999999</v>
      </c>
      <c r="E15">
        <v>5.8581500000000002</v>
      </c>
      <c r="L15" t="s">
        <v>762</v>
      </c>
      <c r="M15">
        <v>0</v>
      </c>
      <c r="N15">
        <v>3.2280000000000002</v>
      </c>
      <c r="O15">
        <v>41.571021999999999</v>
      </c>
      <c r="P15">
        <v>5.8581500000000002</v>
      </c>
      <c r="Q15">
        <v>32.484872000000003</v>
      </c>
      <c r="R15">
        <v>0</v>
      </c>
      <c r="S15" s="1">
        <f t="shared" si="0"/>
        <v>0.88415000000000066</v>
      </c>
      <c r="T15" s="2">
        <f t="shared" si="1"/>
        <v>88.415000000000063</v>
      </c>
    </row>
    <row r="16" spans="1:24" x14ac:dyDescent="0.2">
      <c r="A16" t="s">
        <v>763</v>
      </c>
      <c r="D16">
        <v>40.756976999999999</v>
      </c>
      <c r="E16">
        <v>7.0006000000000004</v>
      </c>
      <c r="L16" t="s">
        <v>763</v>
      </c>
      <c r="M16">
        <v>0</v>
      </c>
      <c r="N16">
        <v>0</v>
      </c>
      <c r="O16">
        <v>40.756976999999999</v>
      </c>
      <c r="P16">
        <v>7.0006000000000004</v>
      </c>
      <c r="Q16">
        <v>33.756377000000001</v>
      </c>
      <c r="R16">
        <v>0</v>
      </c>
      <c r="S16" s="1">
        <f t="shared" si="0"/>
        <v>0.88415000000000066</v>
      </c>
      <c r="T16" s="2">
        <f t="shared" si="1"/>
        <v>88.415000000000063</v>
      </c>
    </row>
    <row r="17" spans="1:20" x14ac:dyDescent="0.2">
      <c r="A17" t="s">
        <v>764</v>
      </c>
      <c r="D17">
        <v>37.568072999999998</v>
      </c>
      <c r="E17">
        <v>6.8738999999999999</v>
      </c>
      <c r="L17" t="s">
        <v>764</v>
      </c>
      <c r="M17">
        <v>0</v>
      </c>
      <c r="N17">
        <v>0</v>
      </c>
      <c r="O17">
        <v>37.568072999999998</v>
      </c>
      <c r="P17">
        <v>6.8738999999999999</v>
      </c>
      <c r="Q17">
        <v>30.694172999999999</v>
      </c>
      <c r="R17">
        <v>0</v>
      </c>
      <c r="S17" s="1">
        <f t="shared" si="0"/>
        <v>0.88415000000000066</v>
      </c>
      <c r="T17" s="2">
        <f t="shared" si="1"/>
        <v>88.415000000000063</v>
      </c>
    </row>
    <row r="18" spans="1:20" x14ac:dyDescent="0.2">
      <c r="A18" t="s">
        <v>765</v>
      </c>
      <c r="D18">
        <v>30.149176000000001</v>
      </c>
      <c r="E18">
        <v>6.7472000000000003</v>
      </c>
      <c r="L18" t="s">
        <v>765</v>
      </c>
      <c r="M18">
        <v>0</v>
      </c>
      <c r="N18">
        <v>0</v>
      </c>
      <c r="O18">
        <v>30.149176000000001</v>
      </c>
      <c r="P18">
        <v>6.7472000000000003</v>
      </c>
      <c r="Q18">
        <v>23.401976000000001</v>
      </c>
      <c r="R18">
        <v>0</v>
      </c>
      <c r="S18" s="1">
        <f t="shared" si="0"/>
        <v>0.88415000000000066</v>
      </c>
      <c r="T18" s="2">
        <f t="shared" si="1"/>
        <v>88.415000000000063</v>
      </c>
    </row>
    <row r="19" spans="1:20" x14ac:dyDescent="0.2">
      <c r="A19" t="s">
        <v>766</v>
      </c>
      <c r="D19">
        <v>18.663250000000001</v>
      </c>
      <c r="E19">
        <v>7.0763499999999997</v>
      </c>
      <c r="L19" t="s">
        <v>766</v>
      </c>
      <c r="M19">
        <v>0</v>
      </c>
      <c r="N19">
        <v>11.587</v>
      </c>
      <c r="O19">
        <v>18.663250000000001</v>
      </c>
      <c r="P19">
        <v>7.0763499999999997</v>
      </c>
      <c r="Q19">
        <v>0</v>
      </c>
      <c r="R19">
        <v>0</v>
      </c>
      <c r="S19" s="1">
        <f t="shared" si="0"/>
        <v>1.0000200000000006</v>
      </c>
      <c r="T19" s="2">
        <f t="shared" si="1"/>
        <v>100.00200000000007</v>
      </c>
    </row>
    <row r="20" spans="1:20" x14ac:dyDescent="0.2">
      <c r="A20" t="s">
        <v>767</v>
      </c>
      <c r="D20">
        <v>4.2705503</v>
      </c>
      <c r="E20">
        <v>6.7867002000000003</v>
      </c>
      <c r="L20" t="s">
        <v>767</v>
      </c>
      <c r="M20">
        <v>2.516</v>
      </c>
      <c r="N20">
        <v>0</v>
      </c>
      <c r="O20">
        <v>4.2705503</v>
      </c>
      <c r="P20">
        <v>6.7867002000000003</v>
      </c>
      <c r="Q20">
        <v>0</v>
      </c>
      <c r="R20">
        <v>0</v>
      </c>
      <c r="S20" s="1">
        <f t="shared" si="0"/>
        <v>0.97486000000000061</v>
      </c>
      <c r="T20" s="2">
        <f t="shared" si="1"/>
        <v>97.486000000000061</v>
      </c>
    </row>
    <row r="21" spans="1:20" x14ac:dyDescent="0.2">
      <c r="A21" t="s">
        <v>768</v>
      </c>
      <c r="D21">
        <v>0</v>
      </c>
      <c r="E21">
        <v>6.0527996999999996</v>
      </c>
      <c r="L21" t="s">
        <v>768</v>
      </c>
      <c r="M21">
        <v>6.0529999999999999</v>
      </c>
      <c r="N21">
        <v>0</v>
      </c>
      <c r="O21">
        <v>0</v>
      </c>
      <c r="P21">
        <v>6.0527996999999996</v>
      </c>
      <c r="Q21">
        <v>0</v>
      </c>
      <c r="R21">
        <v>0</v>
      </c>
      <c r="S21" s="1">
        <f t="shared" si="0"/>
        <v>0.91433000000000064</v>
      </c>
      <c r="T21" s="2">
        <f t="shared" si="1"/>
        <v>91.433000000000064</v>
      </c>
    </row>
    <row r="22" spans="1:20" x14ac:dyDescent="0.2">
      <c r="A22" t="s">
        <v>769</v>
      </c>
      <c r="D22">
        <v>0</v>
      </c>
      <c r="E22">
        <v>4.9443999999999999</v>
      </c>
      <c r="L22" t="s">
        <v>769</v>
      </c>
      <c r="M22">
        <v>4.944</v>
      </c>
      <c r="N22">
        <v>0</v>
      </c>
      <c r="O22">
        <v>0</v>
      </c>
      <c r="P22">
        <v>4.9443999999999999</v>
      </c>
      <c r="Q22">
        <v>0</v>
      </c>
      <c r="R22">
        <v>0</v>
      </c>
      <c r="S22" s="1">
        <f t="shared" si="0"/>
        <v>0.8648900000000006</v>
      </c>
      <c r="T22" s="2">
        <f t="shared" si="1"/>
        <v>86.489000000000061</v>
      </c>
    </row>
    <row r="23" spans="1:20" x14ac:dyDescent="0.2">
      <c r="A23" t="s">
        <v>770</v>
      </c>
      <c r="D23">
        <v>0</v>
      </c>
      <c r="E23">
        <v>5.8882003000000003</v>
      </c>
      <c r="L23" t="s">
        <v>770</v>
      </c>
      <c r="M23">
        <v>5.8879999999999999</v>
      </c>
      <c r="N23">
        <v>0</v>
      </c>
      <c r="O23">
        <v>0</v>
      </c>
      <c r="P23">
        <v>5.8882003000000003</v>
      </c>
      <c r="Q23">
        <v>0</v>
      </c>
      <c r="R23">
        <v>0</v>
      </c>
      <c r="S23" s="1">
        <f t="shared" si="0"/>
        <v>0.80601000000000056</v>
      </c>
      <c r="T23" s="2">
        <f t="shared" si="1"/>
        <v>80.601000000000056</v>
      </c>
    </row>
    <row r="24" spans="1:20" x14ac:dyDescent="0.2">
      <c r="A24" t="s">
        <v>771</v>
      </c>
      <c r="D24">
        <v>0</v>
      </c>
      <c r="E24">
        <v>6.7122999999999999</v>
      </c>
      <c r="L24" t="s">
        <v>771</v>
      </c>
      <c r="M24">
        <v>6.7119999999999997</v>
      </c>
      <c r="N24">
        <v>0</v>
      </c>
      <c r="O24">
        <v>0</v>
      </c>
      <c r="P24">
        <v>6.7122999999999999</v>
      </c>
      <c r="Q24">
        <v>0</v>
      </c>
      <c r="R24">
        <v>0</v>
      </c>
      <c r="S24" s="1">
        <f t="shared" si="0"/>
        <v>0.73889000000000049</v>
      </c>
      <c r="T24" s="2">
        <f t="shared" si="1"/>
        <v>73.889000000000053</v>
      </c>
    </row>
    <row r="25" spans="1:20" x14ac:dyDescent="0.2">
      <c r="A25" t="s">
        <v>772</v>
      </c>
      <c r="D25">
        <v>0</v>
      </c>
      <c r="E25">
        <v>6.9189999999999996</v>
      </c>
      <c r="L25" t="s">
        <v>772</v>
      </c>
      <c r="M25">
        <v>6.9189999999999996</v>
      </c>
      <c r="N25">
        <v>0</v>
      </c>
      <c r="O25">
        <v>0</v>
      </c>
      <c r="P25">
        <v>6.9189999999999996</v>
      </c>
      <c r="Q25">
        <v>0</v>
      </c>
      <c r="R25">
        <v>0</v>
      </c>
      <c r="S25" s="1">
        <f t="shared" si="0"/>
        <v>0.66970000000000052</v>
      </c>
      <c r="T25" s="2">
        <f t="shared" si="1"/>
        <v>66.970000000000056</v>
      </c>
    </row>
    <row r="26" spans="1:20" x14ac:dyDescent="0.2">
      <c r="A26" t="s">
        <v>773</v>
      </c>
      <c r="D26">
        <v>0</v>
      </c>
      <c r="E26">
        <v>6.3026749999999998</v>
      </c>
      <c r="L26" t="s">
        <v>773</v>
      </c>
      <c r="M26">
        <v>6.3029999999999999</v>
      </c>
      <c r="N26">
        <v>0</v>
      </c>
      <c r="O26">
        <v>0</v>
      </c>
      <c r="P26">
        <v>6.3026749999999998</v>
      </c>
      <c r="Q26">
        <v>0</v>
      </c>
      <c r="R26">
        <v>0</v>
      </c>
      <c r="S26" s="1">
        <f t="shared" si="0"/>
        <v>0.6066700000000006</v>
      </c>
      <c r="T26" s="2">
        <f t="shared" si="1"/>
        <v>60.667000000000058</v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X26"/>
  <sheetViews>
    <sheetView workbookViewId="0"/>
  </sheetViews>
  <sheetFormatPr baseColWidth="10" defaultColWidth="8.83203125" defaultRowHeight="15" x14ac:dyDescent="0.2"/>
  <sheetData>
    <row r="1" spans="1:24" x14ac:dyDescent="0.2">
      <c r="A1" t="s">
        <v>0</v>
      </c>
      <c r="D1" t="s">
        <v>1</v>
      </c>
      <c r="L1" t="s">
        <v>2</v>
      </c>
      <c r="R1" t="s">
        <v>3</v>
      </c>
      <c r="S1" s="1">
        <v>0.60667000000000071</v>
      </c>
      <c r="T1">
        <f>S1*V1</f>
        <v>60.667000000000073</v>
      </c>
      <c r="U1" t="s">
        <v>4</v>
      </c>
      <c r="V1">
        <v>100</v>
      </c>
      <c r="W1" t="s">
        <v>5</v>
      </c>
      <c r="X1" s="1">
        <v>0.1</v>
      </c>
    </row>
    <row r="2" spans="1:24" x14ac:dyDescent="0.2">
      <c r="A2" t="s">
        <v>6</v>
      </c>
      <c r="B2" t="s">
        <v>7</v>
      </c>
      <c r="C2" t="s">
        <v>8</v>
      </c>
      <c r="D2" t="s">
        <v>9</v>
      </c>
      <c r="E2" t="s">
        <v>10</v>
      </c>
      <c r="F2" t="s">
        <v>11</v>
      </c>
      <c r="G2" t="s">
        <v>12</v>
      </c>
      <c r="H2" t="s">
        <v>13</v>
      </c>
      <c r="I2" t="s">
        <v>14</v>
      </c>
      <c r="L2" t="s">
        <v>6</v>
      </c>
      <c r="M2" t="s">
        <v>7</v>
      </c>
      <c r="N2" t="s">
        <v>8</v>
      </c>
      <c r="O2" t="s">
        <v>9</v>
      </c>
      <c r="P2" t="s">
        <v>10</v>
      </c>
      <c r="Q2" t="s">
        <v>11</v>
      </c>
      <c r="R2" t="s">
        <v>12</v>
      </c>
      <c r="S2" t="s">
        <v>13</v>
      </c>
      <c r="T2" t="s">
        <v>14</v>
      </c>
      <c r="W2" t="s">
        <v>15</v>
      </c>
      <c r="X2" s="1">
        <v>1</v>
      </c>
    </row>
    <row r="3" spans="1:24" x14ac:dyDescent="0.2">
      <c r="A3" t="s">
        <v>774</v>
      </c>
      <c r="D3">
        <v>0</v>
      </c>
      <c r="E3">
        <v>6.6585669999999997</v>
      </c>
      <c r="L3" t="s">
        <v>774</v>
      </c>
      <c r="M3">
        <v>6.6589999999999998</v>
      </c>
      <c r="N3">
        <v>0</v>
      </c>
      <c r="O3">
        <v>0</v>
      </c>
      <c r="P3">
        <v>6.6585669999999997</v>
      </c>
      <c r="Q3">
        <v>0</v>
      </c>
      <c r="R3">
        <v>0</v>
      </c>
      <c r="S3" s="1">
        <f t="shared" ref="S3:S26" si="0">T3/V$1</f>
        <v>0.54008000000000078</v>
      </c>
      <c r="T3" s="2">
        <f>T1-M3+N3</f>
        <v>54.008000000000074</v>
      </c>
    </row>
    <row r="4" spans="1:24" x14ac:dyDescent="0.2">
      <c r="A4" t="s">
        <v>775</v>
      </c>
      <c r="D4">
        <v>0</v>
      </c>
      <c r="E4">
        <v>6.7249999999999996</v>
      </c>
      <c r="L4" t="s">
        <v>775</v>
      </c>
      <c r="M4">
        <v>6.7249999999999996</v>
      </c>
      <c r="N4">
        <v>0</v>
      </c>
      <c r="O4">
        <v>0</v>
      </c>
      <c r="P4">
        <v>6.7249999999999996</v>
      </c>
      <c r="Q4">
        <v>0</v>
      </c>
      <c r="R4">
        <v>0</v>
      </c>
      <c r="S4" s="1">
        <f t="shared" si="0"/>
        <v>0.47283000000000075</v>
      </c>
      <c r="T4" s="2">
        <f t="shared" ref="T4:T26" si="1">T3-M4+N4</f>
        <v>47.283000000000072</v>
      </c>
    </row>
    <row r="5" spans="1:24" x14ac:dyDescent="0.2">
      <c r="A5" t="s">
        <v>776</v>
      </c>
      <c r="D5">
        <v>0</v>
      </c>
      <c r="E5">
        <v>6.7914332999999996</v>
      </c>
      <c r="L5" t="s">
        <v>776</v>
      </c>
      <c r="M5">
        <v>6.7910000000000004</v>
      </c>
      <c r="N5">
        <v>0</v>
      </c>
      <c r="O5">
        <v>0</v>
      </c>
      <c r="P5">
        <v>6.7914332999999996</v>
      </c>
      <c r="Q5">
        <v>0</v>
      </c>
      <c r="R5">
        <v>0</v>
      </c>
      <c r="S5" s="1">
        <f t="shared" si="0"/>
        <v>0.40492000000000078</v>
      </c>
      <c r="T5" s="2">
        <f t="shared" si="1"/>
        <v>40.492000000000075</v>
      </c>
    </row>
    <row r="6" spans="1:24" x14ac:dyDescent="0.2">
      <c r="A6" t="s">
        <v>777</v>
      </c>
      <c r="D6">
        <v>0</v>
      </c>
      <c r="E6">
        <v>6.8002995999999998</v>
      </c>
      <c r="L6" t="s">
        <v>777</v>
      </c>
      <c r="M6">
        <v>6.8</v>
      </c>
      <c r="N6">
        <v>0</v>
      </c>
      <c r="O6">
        <v>0</v>
      </c>
      <c r="P6">
        <v>6.8002995999999998</v>
      </c>
      <c r="Q6">
        <v>0</v>
      </c>
      <c r="R6">
        <v>0</v>
      </c>
      <c r="S6" s="1">
        <f t="shared" si="0"/>
        <v>0.33692000000000077</v>
      </c>
      <c r="T6" s="2">
        <f t="shared" si="1"/>
        <v>33.692000000000078</v>
      </c>
      <c r="V6" t="s">
        <v>20</v>
      </c>
      <c r="W6" t="s">
        <v>778</v>
      </c>
    </row>
    <row r="7" spans="1:24" x14ac:dyDescent="0.2">
      <c r="A7" t="s">
        <v>779</v>
      </c>
      <c r="D7">
        <v>0</v>
      </c>
      <c r="E7">
        <v>6.7686000000000002</v>
      </c>
      <c r="L7" t="s">
        <v>779</v>
      </c>
      <c r="M7">
        <v>6.7690000000000001</v>
      </c>
      <c r="N7">
        <v>0</v>
      </c>
      <c r="O7">
        <v>0</v>
      </c>
      <c r="P7">
        <v>6.7686000000000002</v>
      </c>
      <c r="Q7">
        <v>0</v>
      </c>
      <c r="R7">
        <v>0</v>
      </c>
      <c r="S7" s="1">
        <f t="shared" si="0"/>
        <v>0.2692300000000008</v>
      </c>
      <c r="T7" s="2">
        <f t="shared" si="1"/>
        <v>26.92300000000008</v>
      </c>
      <c r="V7" t="s">
        <v>23</v>
      </c>
      <c r="W7" t="s">
        <v>454</v>
      </c>
    </row>
    <row r="8" spans="1:24" x14ac:dyDescent="0.2">
      <c r="A8" t="s">
        <v>780</v>
      </c>
      <c r="D8">
        <v>0</v>
      </c>
      <c r="E8">
        <v>6.6657333000000003</v>
      </c>
      <c r="L8" t="s">
        <v>780</v>
      </c>
      <c r="M8">
        <v>6.6660000000000004</v>
      </c>
      <c r="N8">
        <v>0</v>
      </c>
      <c r="O8">
        <v>0</v>
      </c>
      <c r="P8">
        <v>6.6657333000000003</v>
      </c>
      <c r="Q8">
        <v>0</v>
      </c>
      <c r="R8">
        <v>0</v>
      </c>
      <c r="S8" s="1">
        <f t="shared" si="0"/>
        <v>0.2025700000000008</v>
      </c>
      <c r="T8" s="2">
        <f t="shared" si="1"/>
        <v>20.25700000000008</v>
      </c>
      <c r="V8" t="s">
        <v>26</v>
      </c>
      <c r="W8">
        <v>8.4000000000000005E-2</v>
      </c>
    </row>
    <row r="9" spans="1:24" x14ac:dyDescent="0.2">
      <c r="A9" t="s">
        <v>781</v>
      </c>
      <c r="D9">
        <v>0</v>
      </c>
      <c r="E9">
        <v>6.6570999999999998</v>
      </c>
      <c r="L9" t="s">
        <v>781</v>
      </c>
      <c r="M9">
        <v>6.657</v>
      </c>
      <c r="N9">
        <v>0</v>
      </c>
      <c r="O9">
        <v>0</v>
      </c>
      <c r="P9">
        <v>6.6570999999999998</v>
      </c>
      <c r="Q9">
        <v>0</v>
      </c>
      <c r="R9">
        <v>0</v>
      </c>
      <c r="S9" s="1">
        <f t="shared" si="0"/>
        <v>0.13600000000000079</v>
      </c>
      <c r="T9" s="2">
        <f t="shared" si="1"/>
        <v>13.60000000000008</v>
      </c>
      <c r="V9" t="s">
        <v>28</v>
      </c>
      <c r="W9">
        <f>W8/60</f>
        <v>1.4E-3</v>
      </c>
    </row>
    <row r="10" spans="1:24" x14ac:dyDescent="0.2">
      <c r="A10" t="s">
        <v>782</v>
      </c>
      <c r="D10">
        <v>6.9074670000000005E-2</v>
      </c>
      <c r="E10">
        <v>6.6412500000000003</v>
      </c>
      <c r="L10" t="s">
        <v>782</v>
      </c>
      <c r="M10">
        <v>3.6</v>
      </c>
      <c r="N10">
        <v>0</v>
      </c>
      <c r="O10">
        <v>6.9074670000000005E-2</v>
      </c>
      <c r="P10">
        <v>6.6412500000000003</v>
      </c>
      <c r="Q10">
        <v>0</v>
      </c>
      <c r="R10">
        <v>2.9721753299999998</v>
      </c>
      <c r="S10" s="1">
        <f t="shared" si="0"/>
        <v>0.1000000000000008</v>
      </c>
      <c r="T10" s="2">
        <f t="shared" si="1"/>
        <v>10.00000000000008</v>
      </c>
    </row>
    <row r="11" spans="1:24" x14ac:dyDescent="0.2">
      <c r="A11" t="s">
        <v>783</v>
      </c>
      <c r="D11">
        <v>3.2361498000000002</v>
      </c>
      <c r="E11">
        <v>6.7538749999999999</v>
      </c>
      <c r="L11" t="s">
        <v>783</v>
      </c>
      <c r="M11">
        <v>0</v>
      </c>
      <c r="N11">
        <v>0</v>
      </c>
      <c r="O11">
        <v>3.2361498000000002</v>
      </c>
      <c r="P11">
        <v>6.7538749999999999</v>
      </c>
      <c r="Q11">
        <v>0</v>
      </c>
      <c r="R11">
        <v>3.5177252000000001</v>
      </c>
      <c r="S11" s="1">
        <f t="shared" si="0"/>
        <v>0.1000000000000008</v>
      </c>
      <c r="T11" s="2">
        <f t="shared" si="1"/>
        <v>10.00000000000008</v>
      </c>
    </row>
    <row r="12" spans="1:24" x14ac:dyDescent="0.2">
      <c r="A12" t="s">
        <v>784</v>
      </c>
      <c r="D12">
        <v>23.097474999999999</v>
      </c>
      <c r="E12">
        <v>6.78085</v>
      </c>
      <c r="L12" t="s">
        <v>784</v>
      </c>
      <c r="M12">
        <v>0</v>
      </c>
      <c r="N12">
        <v>0</v>
      </c>
      <c r="O12">
        <v>23.097474999999999</v>
      </c>
      <c r="P12">
        <v>6.78085</v>
      </c>
      <c r="Q12">
        <v>16.316624999999998</v>
      </c>
      <c r="R12">
        <v>0</v>
      </c>
      <c r="S12" s="1">
        <f t="shared" si="0"/>
        <v>0.1000000000000008</v>
      </c>
      <c r="T12" s="2">
        <f t="shared" si="1"/>
        <v>10.00000000000008</v>
      </c>
    </row>
    <row r="13" spans="1:24" x14ac:dyDescent="0.2">
      <c r="A13" t="s">
        <v>785</v>
      </c>
      <c r="D13">
        <v>34.929600000000001</v>
      </c>
      <c r="E13">
        <v>6.6456999999999997</v>
      </c>
      <c r="L13" t="s">
        <v>785</v>
      </c>
      <c r="M13">
        <v>0</v>
      </c>
      <c r="N13">
        <v>23.913</v>
      </c>
      <c r="O13">
        <v>34.929600000000001</v>
      </c>
      <c r="P13">
        <v>6.6456999999999997</v>
      </c>
      <c r="Q13">
        <v>4.3709000000000016</v>
      </c>
      <c r="R13">
        <v>0</v>
      </c>
      <c r="S13" s="1">
        <f t="shared" si="0"/>
        <v>0.33913000000000082</v>
      </c>
      <c r="T13" s="2">
        <f t="shared" si="1"/>
        <v>33.913000000000082</v>
      </c>
    </row>
    <row r="14" spans="1:24" x14ac:dyDescent="0.2">
      <c r="A14" t="s">
        <v>786</v>
      </c>
      <c r="D14">
        <v>39.723323999999998</v>
      </c>
      <c r="E14">
        <v>7.0869999999999997</v>
      </c>
      <c r="L14" t="s">
        <v>786</v>
      </c>
      <c r="M14">
        <v>0</v>
      </c>
      <c r="N14">
        <v>32.636000000000003</v>
      </c>
      <c r="O14">
        <v>39.723323999999998</v>
      </c>
      <c r="P14">
        <v>7.0869999999999997</v>
      </c>
      <c r="Q14">
        <v>0</v>
      </c>
      <c r="R14">
        <v>0</v>
      </c>
      <c r="S14" s="1">
        <f t="shared" si="0"/>
        <v>0.66549000000000091</v>
      </c>
      <c r="T14" s="2">
        <f t="shared" si="1"/>
        <v>66.549000000000092</v>
      </c>
    </row>
    <row r="15" spans="1:24" x14ac:dyDescent="0.2">
      <c r="A15" t="s">
        <v>787</v>
      </c>
      <c r="D15">
        <v>41.441749999999999</v>
      </c>
      <c r="E15">
        <v>6.6132999999999997</v>
      </c>
      <c r="L15" t="s">
        <v>787</v>
      </c>
      <c r="M15">
        <v>0</v>
      </c>
      <c r="N15">
        <v>0</v>
      </c>
      <c r="O15">
        <v>41.441749999999999</v>
      </c>
      <c r="P15">
        <v>6.6132999999999997</v>
      </c>
      <c r="Q15">
        <v>34.828449999999997</v>
      </c>
      <c r="R15">
        <v>0</v>
      </c>
      <c r="S15" s="1">
        <f t="shared" si="0"/>
        <v>0.66549000000000091</v>
      </c>
      <c r="T15" s="2">
        <f t="shared" si="1"/>
        <v>66.549000000000092</v>
      </c>
    </row>
    <row r="16" spans="1:24" x14ac:dyDescent="0.2">
      <c r="A16" t="s">
        <v>788</v>
      </c>
      <c r="D16">
        <v>40.246699999999997</v>
      </c>
      <c r="E16">
        <v>6.7964500000000001</v>
      </c>
      <c r="L16" t="s">
        <v>788</v>
      </c>
      <c r="M16">
        <v>0</v>
      </c>
      <c r="N16">
        <v>33.450000000000003</v>
      </c>
      <c r="O16">
        <v>40.246699999999997</v>
      </c>
      <c r="P16">
        <v>6.7964500000000001</v>
      </c>
      <c r="Q16">
        <v>0</v>
      </c>
      <c r="R16">
        <v>0</v>
      </c>
      <c r="S16" s="1">
        <f t="shared" si="0"/>
        <v>0.99999000000000093</v>
      </c>
      <c r="T16" s="2">
        <f t="shared" si="1"/>
        <v>99.999000000000095</v>
      </c>
    </row>
    <row r="17" spans="1:20" x14ac:dyDescent="0.2">
      <c r="A17" t="s">
        <v>789</v>
      </c>
      <c r="D17">
        <v>36.996099999999998</v>
      </c>
      <c r="E17">
        <v>6.6361002999999998</v>
      </c>
      <c r="L17" t="s">
        <v>789</v>
      </c>
      <c r="M17">
        <v>0</v>
      </c>
      <c r="N17">
        <v>0</v>
      </c>
      <c r="O17">
        <v>36.996099999999998</v>
      </c>
      <c r="P17">
        <v>6.6361002999999998</v>
      </c>
      <c r="Q17">
        <v>30.359999699999999</v>
      </c>
      <c r="R17">
        <v>0</v>
      </c>
      <c r="S17" s="1">
        <f t="shared" si="0"/>
        <v>0.99999000000000093</v>
      </c>
      <c r="T17" s="2">
        <f t="shared" si="1"/>
        <v>99.999000000000095</v>
      </c>
    </row>
    <row r="18" spans="1:20" x14ac:dyDescent="0.2">
      <c r="A18" t="s">
        <v>790</v>
      </c>
      <c r="D18">
        <v>29.584875</v>
      </c>
      <c r="E18">
        <v>6.5921200000000004</v>
      </c>
      <c r="L18" t="s">
        <v>790</v>
      </c>
      <c r="M18">
        <v>0</v>
      </c>
      <c r="N18">
        <v>0</v>
      </c>
      <c r="O18">
        <v>29.584875</v>
      </c>
      <c r="P18">
        <v>6.5921200000000004</v>
      </c>
      <c r="Q18">
        <v>22.992754999999999</v>
      </c>
      <c r="R18">
        <v>0</v>
      </c>
      <c r="S18" s="1">
        <f t="shared" si="0"/>
        <v>0.99999000000000093</v>
      </c>
      <c r="T18" s="2">
        <f t="shared" si="1"/>
        <v>99.999000000000095</v>
      </c>
    </row>
    <row r="19" spans="1:20" x14ac:dyDescent="0.2">
      <c r="A19" t="s">
        <v>791</v>
      </c>
      <c r="D19">
        <v>18.451025000000001</v>
      </c>
      <c r="E19">
        <v>6.4705599999999999</v>
      </c>
      <c r="L19" t="s">
        <v>791</v>
      </c>
      <c r="M19">
        <v>0</v>
      </c>
      <c r="N19">
        <v>0</v>
      </c>
      <c r="O19">
        <v>18.451025000000001</v>
      </c>
      <c r="P19">
        <v>6.4705599999999999</v>
      </c>
      <c r="Q19">
        <v>11.980465000000001</v>
      </c>
      <c r="R19">
        <v>0</v>
      </c>
      <c r="S19" s="1">
        <f t="shared" si="0"/>
        <v>0.99999000000000093</v>
      </c>
      <c r="T19" s="2">
        <f t="shared" si="1"/>
        <v>99.999000000000095</v>
      </c>
    </row>
    <row r="20" spans="1:20" x14ac:dyDescent="0.2">
      <c r="A20" t="s">
        <v>792</v>
      </c>
      <c r="D20">
        <v>3.7148755000000002</v>
      </c>
      <c r="E20">
        <v>10.639298999999999</v>
      </c>
      <c r="L20" t="s">
        <v>792</v>
      </c>
      <c r="M20">
        <v>6.9240000000000004</v>
      </c>
      <c r="N20">
        <v>0</v>
      </c>
      <c r="O20">
        <v>3.7148755000000002</v>
      </c>
      <c r="P20">
        <v>10.639298999999999</v>
      </c>
      <c r="Q20">
        <v>0</v>
      </c>
      <c r="R20">
        <v>0</v>
      </c>
      <c r="S20" s="1">
        <f t="shared" si="0"/>
        <v>0.93075000000000085</v>
      </c>
      <c r="T20" s="2">
        <f t="shared" si="1"/>
        <v>93.075000000000088</v>
      </c>
    </row>
    <row r="21" spans="1:20" x14ac:dyDescent="0.2">
      <c r="A21" t="s">
        <v>793</v>
      </c>
      <c r="D21">
        <v>0</v>
      </c>
      <c r="E21">
        <v>7.7630999999999997</v>
      </c>
      <c r="L21" t="s">
        <v>793</v>
      </c>
      <c r="M21">
        <v>7.7629999999999999</v>
      </c>
      <c r="N21">
        <v>0</v>
      </c>
      <c r="O21">
        <v>0</v>
      </c>
      <c r="P21">
        <v>7.7630999999999997</v>
      </c>
      <c r="Q21">
        <v>0</v>
      </c>
      <c r="R21">
        <v>0</v>
      </c>
      <c r="S21" s="1">
        <f t="shared" si="0"/>
        <v>0.85312000000000088</v>
      </c>
      <c r="T21" s="2">
        <f t="shared" si="1"/>
        <v>85.312000000000083</v>
      </c>
    </row>
    <row r="22" spans="1:20" x14ac:dyDescent="0.2">
      <c r="A22" t="s">
        <v>794</v>
      </c>
      <c r="D22">
        <v>0</v>
      </c>
      <c r="E22">
        <v>9.5274999999999999</v>
      </c>
      <c r="L22" t="s">
        <v>794</v>
      </c>
      <c r="M22">
        <v>9.5280000000000005</v>
      </c>
      <c r="N22">
        <v>0</v>
      </c>
      <c r="O22">
        <v>0</v>
      </c>
      <c r="P22">
        <v>9.5274999999999999</v>
      </c>
      <c r="Q22">
        <v>0</v>
      </c>
      <c r="R22">
        <v>0</v>
      </c>
      <c r="S22" s="1">
        <f t="shared" si="0"/>
        <v>0.75784000000000074</v>
      </c>
      <c r="T22" s="2">
        <f t="shared" si="1"/>
        <v>75.784000000000077</v>
      </c>
    </row>
    <row r="23" spans="1:20" x14ac:dyDescent="0.2">
      <c r="A23" t="s">
        <v>795</v>
      </c>
      <c r="D23">
        <v>0</v>
      </c>
      <c r="E23">
        <v>9.5828000000000007</v>
      </c>
      <c r="L23" t="s">
        <v>795</v>
      </c>
      <c r="M23">
        <v>9.5830000000000002</v>
      </c>
      <c r="N23">
        <v>0</v>
      </c>
      <c r="O23">
        <v>0</v>
      </c>
      <c r="P23">
        <v>9.5828000000000007</v>
      </c>
      <c r="Q23">
        <v>0</v>
      </c>
      <c r="R23">
        <v>0</v>
      </c>
      <c r="S23" s="1">
        <f t="shared" si="0"/>
        <v>0.66201000000000076</v>
      </c>
      <c r="T23" s="2">
        <f t="shared" si="1"/>
        <v>66.201000000000079</v>
      </c>
    </row>
    <row r="24" spans="1:20" x14ac:dyDescent="0.2">
      <c r="A24" t="s">
        <v>796</v>
      </c>
      <c r="D24">
        <v>0</v>
      </c>
      <c r="E24">
        <v>9.6380999999999997</v>
      </c>
      <c r="L24" t="s">
        <v>796</v>
      </c>
      <c r="M24">
        <v>9.6379999999999999</v>
      </c>
      <c r="N24">
        <v>0</v>
      </c>
      <c r="O24">
        <v>0</v>
      </c>
      <c r="P24">
        <v>9.6380999999999997</v>
      </c>
      <c r="Q24">
        <v>0</v>
      </c>
      <c r="R24">
        <v>0</v>
      </c>
      <c r="S24" s="1">
        <f t="shared" si="0"/>
        <v>0.56563000000000085</v>
      </c>
      <c r="T24" s="2">
        <f t="shared" si="1"/>
        <v>56.563000000000081</v>
      </c>
    </row>
    <row r="25" spans="1:20" x14ac:dyDescent="0.2">
      <c r="A25" t="s">
        <v>797</v>
      </c>
      <c r="D25">
        <v>0</v>
      </c>
      <c r="E25">
        <v>9.6934000000000005</v>
      </c>
      <c r="L25" t="s">
        <v>797</v>
      </c>
      <c r="M25">
        <v>9.6929999999999996</v>
      </c>
      <c r="N25">
        <v>0</v>
      </c>
      <c r="O25">
        <v>0</v>
      </c>
      <c r="P25">
        <v>9.6934000000000005</v>
      </c>
      <c r="Q25">
        <v>0</v>
      </c>
      <c r="R25">
        <v>0</v>
      </c>
      <c r="S25" s="1">
        <f t="shared" si="0"/>
        <v>0.46870000000000084</v>
      </c>
      <c r="T25" s="2">
        <f t="shared" si="1"/>
        <v>46.870000000000083</v>
      </c>
    </row>
    <row r="26" spans="1:20" x14ac:dyDescent="0.2">
      <c r="A26" t="s">
        <v>798</v>
      </c>
      <c r="D26">
        <v>0</v>
      </c>
      <c r="E26">
        <v>7.6993</v>
      </c>
      <c r="L26" t="s">
        <v>798</v>
      </c>
      <c r="M26">
        <v>7.6989999999999998</v>
      </c>
      <c r="N26">
        <v>0</v>
      </c>
      <c r="O26">
        <v>0</v>
      </c>
      <c r="P26">
        <v>7.6993</v>
      </c>
      <c r="Q26">
        <v>0</v>
      </c>
      <c r="R26">
        <v>0</v>
      </c>
      <c r="S26" s="1">
        <f t="shared" si="0"/>
        <v>0.39171000000000084</v>
      </c>
      <c r="T26" s="2">
        <f t="shared" si="1"/>
        <v>39.171000000000085</v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X26"/>
  <sheetViews>
    <sheetView workbookViewId="0"/>
  </sheetViews>
  <sheetFormatPr baseColWidth="10" defaultColWidth="8.83203125" defaultRowHeight="15" x14ac:dyDescent="0.2"/>
  <sheetData>
    <row r="1" spans="1:24" x14ac:dyDescent="0.2">
      <c r="A1" t="s">
        <v>0</v>
      </c>
      <c r="D1" t="s">
        <v>1</v>
      </c>
      <c r="L1" t="s">
        <v>2</v>
      </c>
      <c r="R1" t="s">
        <v>3</v>
      </c>
      <c r="S1" s="1">
        <v>0.39171000000000072</v>
      </c>
      <c r="T1">
        <f>S1*V1</f>
        <v>39.17100000000007</v>
      </c>
      <c r="U1" t="s">
        <v>4</v>
      </c>
      <c r="V1">
        <v>100</v>
      </c>
      <c r="W1" t="s">
        <v>5</v>
      </c>
      <c r="X1" s="1">
        <v>0.1</v>
      </c>
    </row>
    <row r="2" spans="1:24" x14ac:dyDescent="0.2">
      <c r="A2" t="s">
        <v>6</v>
      </c>
      <c r="B2" t="s">
        <v>7</v>
      </c>
      <c r="C2" t="s">
        <v>8</v>
      </c>
      <c r="D2" t="s">
        <v>9</v>
      </c>
      <c r="E2" t="s">
        <v>10</v>
      </c>
      <c r="F2" t="s">
        <v>11</v>
      </c>
      <c r="G2" t="s">
        <v>12</v>
      </c>
      <c r="H2" t="s">
        <v>13</v>
      </c>
      <c r="I2" t="s">
        <v>14</v>
      </c>
      <c r="L2" t="s">
        <v>6</v>
      </c>
      <c r="M2" t="s">
        <v>7</v>
      </c>
      <c r="N2" t="s">
        <v>8</v>
      </c>
      <c r="O2" t="s">
        <v>9</v>
      </c>
      <c r="P2" t="s">
        <v>10</v>
      </c>
      <c r="Q2" t="s">
        <v>11</v>
      </c>
      <c r="R2" t="s">
        <v>12</v>
      </c>
      <c r="S2" t="s">
        <v>13</v>
      </c>
      <c r="T2" t="s">
        <v>14</v>
      </c>
      <c r="W2" t="s">
        <v>15</v>
      </c>
      <c r="X2" s="1">
        <v>1</v>
      </c>
    </row>
    <row r="3" spans="1:24" x14ac:dyDescent="0.2">
      <c r="A3" t="s">
        <v>799</v>
      </c>
      <c r="D3">
        <v>0</v>
      </c>
      <c r="E3">
        <v>7.4816500000000001</v>
      </c>
      <c r="L3" t="s">
        <v>799</v>
      </c>
      <c r="M3">
        <v>4.8479999999999999</v>
      </c>
      <c r="N3">
        <v>0</v>
      </c>
      <c r="O3">
        <v>0</v>
      </c>
      <c r="P3">
        <v>7.4816500000000001</v>
      </c>
      <c r="Q3">
        <v>0</v>
      </c>
      <c r="R3">
        <v>2.6336499999999998</v>
      </c>
      <c r="S3" s="1">
        <f t="shared" ref="S3:S26" si="0">T3/V$1</f>
        <v>0.3432300000000007</v>
      </c>
      <c r="T3" s="2">
        <f>T1-M3+N3</f>
        <v>34.323000000000071</v>
      </c>
    </row>
    <row r="4" spans="1:24" x14ac:dyDescent="0.2">
      <c r="A4" t="s">
        <v>800</v>
      </c>
      <c r="D4">
        <v>0</v>
      </c>
      <c r="E4">
        <v>7.2640000000000002</v>
      </c>
      <c r="L4" t="s">
        <v>800</v>
      </c>
      <c r="M4">
        <v>7.2640000000000002</v>
      </c>
      <c r="N4">
        <v>0</v>
      </c>
      <c r="O4">
        <v>0</v>
      </c>
      <c r="P4">
        <v>7.2640000000000002</v>
      </c>
      <c r="Q4">
        <v>0</v>
      </c>
      <c r="R4">
        <v>0</v>
      </c>
      <c r="S4" s="1">
        <f t="shared" si="0"/>
        <v>0.27059000000000072</v>
      </c>
      <c r="T4" s="2">
        <f t="shared" ref="T4:T26" si="1">T3-M4+N4</f>
        <v>27.059000000000072</v>
      </c>
    </row>
    <row r="5" spans="1:24" x14ac:dyDescent="0.2">
      <c r="A5" t="s">
        <v>801</v>
      </c>
      <c r="D5">
        <v>0</v>
      </c>
      <c r="E5">
        <v>7.0463500000000003</v>
      </c>
      <c r="L5" t="s">
        <v>801</v>
      </c>
      <c r="M5">
        <v>7.0460000000000003</v>
      </c>
      <c r="N5">
        <v>0</v>
      </c>
      <c r="O5">
        <v>0</v>
      </c>
      <c r="P5">
        <v>7.0463500000000003</v>
      </c>
      <c r="Q5">
        <v>0</v>
      </c>
      <c r="R5">
        <v>0</v>
      </c>
      <c r="S5" s="1">
        <f t="shared" si="0"/>
        <v>0.20013000000000072</v>
      </c>
      <c r="T5" s="2">
        <f t="shared" si="1"/>
        <v>20.013000000000073</v>
      </c>
    </row>
    <row r="6" spans="1:24" x14ac:dyDescent="0.2">
      <c r="A6" t="s">
        <v>802</v>
      </c>
      <c r="D6">
        <v>0</v>
      </c>
      <c r="E6">
        <v>5.8178333999999996</v>
      </c>
      <c r="L6" t="s">
        <v>802</v>
      </c>
      <c r="M6">
        <v>0</v>
      </c>
      <c r="N6">
        <v>0</v>
      </c>
      <c r="O6">
        <v>0</v>
      </c>
      <c r="P6">
        <v>5.8178333999999996</v>
      </c>
      <c r="Q6">
        <v>0</v>
      </c>
      <c r="R6">
        <v>5.8178333999999996</v>
      </c>
      <c r="S6" s="1">
        <f t="shared" si="0"/>
        <v>0.20013000000000072</v>
      </c>
      <c r="T6" s="2">
        <f t="shared" si="1"/>
        <v>20.013000000000073</v>
      </c>
      <c r="V6" t="s">
        <v>20</v>
      </c>
      <c r="W6" t="s">
        <v>803</v>
      </c>
    </row>
    <row r="7" spans="1:24" x14ac:dyDescent="0.2">
      <c r="A7" t="s">
        <v>804</v>
      </c>
      <c r="D7">
        <v>0</v>
      </c>
      <c r="E7">
        <v>5.2725999999999997</v>
      </c>
      <c r="L7" t="s">
        <v>804</v>
      </c>
      <c r="M7">
        <v>0</v>
      </c>
      <c r="N7">
        <v>0</v>
      </c>
      <c r="O7">
        <v>0</v>
      </c>
      <c r="P7">
        <v>5.2725999999999997</v>
      </c>
      <c r="Q7">
        <v>0</v>
      </c>
      <c r="R7">
        <v>5.2725999999999997</v>
      </c>
      <c r="S7" s="1">
        <f t="shared" si="0"/>
        <v>0.20013000000000072</v>
      </c>
      <c r="T7" s="2">
        <f t="shared" si="1"/>
        <v>20.013000000000073</v>
      </c>
      <c r="V7" t="s">
        <v>23</v>
      </c>
      <c r="W7" t="s">
        <v>253</v>
      </c>
    </row>
    <row r="8" spans="1:24" x14ac:dyDescent="0.2">
      <c r="A8" t="s">
        <v>805</v>
      </c>
      <c r="D8">
        <v>0</v>
      </c>
      <c r="E8">
        <v>7.0039999999999996</v>
      </c>
      <c r="L8" t="s">
        <v>805</v>
      </c>
      <c r="M8">
        <v>7.0039999999999996</v>
      </c>
      <c r="N8">
        <v>0</v>
      </c>
      <c r="O8">
        <v>0</v>
      </c>
      <c r="P8">
        <v>7.0039999999999996</v>
      </c>
      <c r="Q8">
        <v>0</v>
      </c>
      <c r="R8">
        <v>0</v>
      </c>
      <c r="S8" s="1">
        <f t="shared" si="0"/>
        <v>0.13009000000000073</v>
      </c>
      <c r="T8" s="2">
        <f t="shared" si="1"/>
        <v>13.009000000000073</v>
      </c>
      <c r="V8" t="s">
        <v>26</v>
      </c>
      <c r="W8">
        <v>8.1000000000000003E-2</v>
      </c>
    </row>
    <row r="9" spans="1:24" x14ac:dyDescent="0.2">
      <c r="A9" t="s">
        <v>806</v>
      </c>
      <c r="D9">
        <v>0</v>
      </c>
      <c r="E9">
        <v>6.9074</v>
      </c>
      <c r="L9" t="s">
        <v>806</v>
      </c>
      <c r="M9">
        <v>0</v>
      </c>
      <c r="N9">
        <v>0</v>
      </c>
      <c r="O9">
        <v>0</v>
      </c>
      <c r="P9">
        <v>6.9074</v>
      </c>
      <c r="Q9">
        <v>0</v>
      </c>
      <c r="R9">
        <v>6.9074</v>
      </c>
      <c r="S9" s="1">
        <f t="shared" si="0"/>
        <v>0.13009000000000073</v>
      </c>
      <c r="T9" s="2">
        <f t="shared" si="1"/>
        <v>13.009000000000073</v>
      </c>
      <c r="V9" t="s">
        <v>28</v>
      </c>
      <c r="W9">
        <f>W8/60</f>
        <v>1.3500000000000001E-3</v>
      </c>
    </row>
    <row r="10" spans="1:24" x14ac:dyDescent="0.2">
      <c r="A10" t="s">
        <v>807</v>
      </c>
      <c r="D10">
        <v>9.4000449999999999E-2</v>
      </c>
      <c r="E10">
        <v>6.9330999999999996</v>
      </c>
      <c r="L10" t="s">
        <v>807</v>
      </c>
      <c r="M10">
        <v>0</v>
      </c>
      <c r="N10">
        <v>0</v>
      </c>
      <c r="O10">
        <v>9.4000449999999999E-2</v>
      </c>
      <c r="P10">
        <v>6.9330999999999996</v>
      </c>
      <c r="Q10">
        <v>0</v>
      </c>
      <c r="R10">
        <v>6.8390995499999994</v>
      </c>
      <c r="S10" s="1">
        <f t="shared" si="0"/>
        <v>0.13009000000000073</v>
      </c>
      <c r="T10" s="2">
        <f t="shared" si="1"/>
        <v>13.009000000000073</v>
      </c>
    </row>
    <row r="11" spans="1:24" x14ac:dyDescent="0.2">
      <c r="A11" t="s">
        <v>808</v>
      </c>
      <c r="D11">
        <v>3.909475</v>
      </c>
      <c r="E11">
        <v>6.9180999999999999</v>
      </c>
      <c r="L11" t="s">
        <v>808</v>
      </c>
      <c r="M11">
        <v>3.0089999999999999</v>
      </c>
      <c r="N11">
        <v>0</v>
      </c>
      <c r="O11">
        <v>3.909475</v>
      </c>
      <c r="P11">
        <v>6.9180999999999999</v>
      </c>
      <c r="Q11">
        <v>0</v>
      </c>
      <c r="R11">
        <v>0</v>
      </c>
      <c r="S11" s="1">
        <f t="shared" si="0"/>
        <v>0.10000000000000073</v>
      </c>
      <c r="T11" s="2">
        <f t="shared" si="1"/>
        <v>10.000000000000073</v>
      </c>
    </row>
    <row r="12" spans="1:24" x14ac:dyDescent="0.2">
      <c r="A12" t="s">
        <v>809</v>
      </c>
      <c r="D12">
        <v>22.265550000000001</v>
      </c>
      <c r="E12">
        <v>6.9907500000000002</v>
      </c>
      <c r="L12" t="s">
        <v>809</v>
      </c>
      <c r="M12">
        <v>0</v>
      </c>
      <c r="N12">
        <v>15.275</v>
      </c>
      <c r="O12">
        <v>22.265550000000001</v>
      </c>
      <c r="P12">
        <v>6.9907500000000002</v>
      </c>
      <c r="Q12">
        <v>0</v>
      </c>
      <c r="R12">
        <v>0</v>
      </c>
      <c r="S12" s="1">
        <f t="shared" si="0"/>
        <v>0.25275000000000075</v>
      </c>
      <c r="T12" s="2">
        <f t="shared" si="1"/>
        <v>25.275000000000073</v>
      </c>
    </row>
    <row r="13" spans="1:24" x14ac:dyDescent="0.2">
      <c r="A13" t="s">
        <v>810</v>
      </c>
      <c r="D13">
        <v>33.84845</v>
      </c>
      <c r="E13">
        <v>6.9856999999999996</v>
      </c>
      <c r="L13" t="s">
        <v>810</v>
      </c>
      <c r="M13">
        <v>0</v>
      </c>
      <c r="N13">
        <v>26.863</v>
      </c>
      <c r="O13">
        <v>33.84845</v>
      </c>
      <c r="P13">
        <v>6.9856999999999996</v>
      </c>
      <c r="Q13">
        <v>0</v>
      </c>
      <c r="R13">
        <v>0</v>
      </c>
      <c r="S13" s="1">
        <f t="shared" si="0"/>
        <v>0.52138000000000073</v>
      </c>
      <c r="T13" s="2">
        <f t="shared" si="1"/>
        <v>52.138000000000076</v>
      </c>
    </row>
    <row r="14" spans="1:24" x14ac:dyDescent="0.2">
      <c r="A14" t="s">
        <v>811</v>
      </c>
      <c r="D14">
        <v>36.994050000000001</v>
      </c>
      <c r="E14">
        <v>6.9378000000000002</v>
      </c>
      <c r="L14" t="s">
        <v>811</v>
      </c>
      <c r="M14">
        <v>0</v>
      </c>
      <c r="N14">
        <v>11.335000000000001</v>
      </c>
      <c r="O14">
        <v>36.994050000000001</v>
      </c>
      <c r="P14">
        <v>6.9378000000000002</v>
      </c>
      <c r="Q14">
        <v>18.721250000000001</v>
      </c>
      <c r="R14">
        <v>0</v>
      </c>
      <c r="S14" s="1">
        <f t="shared" si="0"/>
        <v>0.63473000000000079</v>
      </c>
      <c r="T14" s="2">
        <f t="shared" si="1"/>
        <v>63.473000000000077</v>
      </c>
    </row>
    <row r="15" spans="1:24" x14ac:dyDescent="0.2">
      <c r="A15" t="s">
        <v>812</v>
      </c>
      <c r="D15">
        <v>40.354103000000002</v>
      </c>
      <c r="E15">
        <v>6.9292749999999996</v>
      </c>
      <c r="L15" t="s">
        <v>812</v>
      </c>
      <c r="M15">
        <v>0</v>
      </c>
      <c r="N15">
        <v>0</v>
      </c>
      <c r="O15">
        <v>40.354103000000002</v>
      </c>
      <c r="P15">
        <v>6.9292749999999996</v>
      </c>
      <c r="Q15">
        <v>33.424828000000012</v>
      </c>
      <c r="R15">
        <v>0</v>
      </c>
      <c r="S15" s="1">
        <f t="shared" si="0"/>
        <v>0.63473000000000079</v>
      </c>
      <c r="T15" s="2">
        <f t="shared" si="1"/>
        <v>63.473000000000077</v>
      </c>
    </row>
    <row r="16" spans="1:24" x14ac:dyDescent="0.2">
      <c r="A16" t="s">
        <v>813</v>
      </c>
      <c r="D16">
        <v>38.861499999999999</v>
      </c>
      <c r="E16">
        <v>6.9431000000000003</v>
      </c>
      <c r="L16" t="s">
        <v>813</v>
      </c>
      <c r="M16">
        <v>0</v>
      </c>
      <c r="N16">
        <v>0</v>
      </c>
      <c r="O16">
        <v>38.861499999999999</v>
      </c>
      <c r="P16">
        <v>6.9431000000000003</v>
      </c>
      <c r="Q16">
        <v>31.918399999999998</v>
      </c>
      <c r="R16">
        <v>0</v>
      </c>
      <c r="S16" s="1">
        <f t="shared" si="0"/>
        <v>0.63473000000000079</v>
      </c>
      <c r="T16" s="2">
        <f t="shared" si="1"/>
        <v>63.473000000000077</v>
      </c>
    </row>
    <row r="17" spans="1:20" x14ac:dyDescent="0.2">
      <c r="A17" t="s">
        <v>814</v>
      </c>
      <c r="D17">
        <v>34.918427000000001</v>
      </c>
      <c r="E17">
        <v>6.9120670000000004</v>
      </c>
      <c r="L17" t="s">
        <v>814</v>
      </c>
      <c r="M17">
        <v>0</v>
      </c>
      <c r="N17">
        <v>28.006</v>
      </c>
      <c r="O17">
        <v>34.918427000000001</v>
      </c>
      <c r="P17">
        <v>6.9120670000000004</v>
      </c>
      <c r="Q17">
        <v>0</v>
      </c>
      <c r="R17">
        <v>0</v>
      </c>
      <c r="S17" s="1">
        <f t="shared" si="0"/>
        <v>0.91479000000000066</v>
      </c>
      <c r="T17" s="2">
        <f t="shared" si="1"/>
        <v>91.47900000000007</v>
      </c>
    </row>
    <row r="18" spans="1:20" x14ac:dyDescent="0.2">
      <c r="A18" t="s">
        <v>815</v>
      </c>
      <c r="D18">
        <v>27.451274999999999</v>
      </c>
      <c r="E18">
        <v>6.9882</v>
      </c>
      <c r="L18" t="s">
        <v>815</v>
      </c>
      <c r="M18">
        <v>0</v>
      </c>
      <c r="N18">
        <v>0</v>
      </c>
      <c r="O18">
        <v>27.451274999999999</v>
      </c>
      <c r="P18">
        <v>6.9882</v>
      </c>
      <c r="Q18">
        <v>20.463075</v>
      </c>
      <c r="R18">
        <v>0</v>
      </c>
      <c r="S18" s="1">
        <f t="shared" si="0"/>
        <v>0.91479000000000066</v>
      </c>
      <c r="T18" s="2">
        <f t="shared" si="1"/>
        <v>91.47900000000007</v>
      </c>
    </row>
    <row r="19" spans="1:20" x14ac:dyDescent="0.2">
      <c r="A19" t="s">
        <v>816</v>
      </c>
      <c r="D19">
        <v>15.566424</v>
      </c>
      <c r="E19">
        <v>7.0457000000000001</v>
      </c>
      <c r="L19" t="s">
        <v>816</v>
      </c>
      <c r="M19">
        <v>0</v>
      </c>
      <c r="N19">
        <v>8.5210000000000008</v>
      </c>
      <c r="O19">
        <v>15.566424</v>
      </c>
      <c r="P19">
        <v>7.0457000000000001</v>
      </c>
      <c r="Q19">
        <v>0</v>
      </c>
      <c r="R19">
        <v>0</v>
      </c>
      <c r="S19" s="1">
        <f t="shared" si="0"/>
        <v>1.0000000000000007</v>
      </c>
      <c r="T19" s="2">
        <f t="shared" si="1"/>
        <v>100.00000000000007</v>
      </c>
    </row>
    <row r="20" spans="1:20" x14ac:dyDescent="0.2">
      <c r="A20" t="s">
        <v>817</v>
      </c>
      <c r="D20">
        <v>2.9942250000000001</v>
      </c>
      <c r="E20">
        <v>7.1582330000000001</v>
      </c>
      <c r="L20" t="s">
        <v>817</v>
      </c>
      <c r="M20">
        <v>4.1639999999999997</v>
      </c>
      <c r="N20">
        <v>0</v>
      </c>
      <c r="O20">
        <v>2.9942250000000001</v>
      </c>
      <c r="P20">
        <v>7.1582330000000001</v>
      </c>
      <c r="Q20">
        <v>0</v>
      </c>
      <c r="R20">
        <v>0</v>
      </c>
      <c r="S20" s="1">
        <f t="shared" si="0"/>
        <v>0.95836000000000066</v>
      </c>
      <c r="T20" s="2">
        <f t="shared" si="1"/>
        <v>95.83600000000007</v>
      </c>
    </row>
    <row r="21" spans="1:20" x14ac:dyDescent="0.2">
      <c r="A21" t="s">
        <v>818</v>
      </c>
      <c r="D21">
        <v>0</v>
      </c>
      <c r="E21">
        <v>8.0477000000000007</v>
      </c>
      <c r="L21" t="s">
        <v>818</v>
      </c>
      <c r="M21">
        <v>8.048</v>
      </c>
      <c r="N21">
        <v>0</v>
      </c>
      <c r="O21">
        <v>0</v>
      </c>
      <c r="P21">
        <v>8.0477000000000007</v>
      </c>
      <c r="Q21">
        <v>0</v>
      </c>
      <c r="R21">
        <v>0</v>
      </c>
      <c r="S21" s="1">
        <f t="shared" si="0"/>
        <v>0.87788000000000066</v>
      </c>
      <c r="T21" s="2">
        <f t="shared" si="1"/>
        <v>87.788000000000068</v>
      </c>
    </row>
    <row r="22" spans="1:20" x14ac:dyDescent="0.2">
      <c r="A22" t="s">
        <v>819</v>
      </c>
      <c r="D22">
        <v>0</v>
      </c>
      <c r="E22">
        <v>9.3604500000000002</v>
      </c>
      <c r="L22" t="s">
        <v>819</v>
      </c>
      <c r="M22">
        <v>9.36</v>
      </c>
      <c r="N22">
        <v>0</v>
      </c>
      <c r="O22">
        <v>0</v>
      </c>
      <c r="P22">
        <v>9.3604500000000002</v>
      </c>
      <c r="Q22">
        <v>0</v>
      </c>
      <c r="R22">
        <v>0</v>
      </c>
      <c r="S22" s="1">
        <f t="shared" si="0"/>
        <v>0.78428000000000064</v>
      </c>
      <c r="T22" s="2">
        <f t="shared" si="1"/>
        <v>78.428000000000068</v>
      </c>
    </row>
    <row r="23" spans="1:20" x14ac:dyDescent="0.2">
      <c r="A23" t="s">
        <v>820</v>
      </c>
      <c r="D23">
        <v>0</v>
      </c>
      <c r="E23">
        <v>8.9818999999999996</v>
      </c>
      <c r="L23" t="s">
        <v>820</v>
      </c>
      <c r="M23">
        <v>8.9819999999999993</v>
      </c>
      <c r="N23">
        <v>0</v>
      </c>
      <c r="O23">
        <v>0</v>
      </c>
      <c r="P23">
        <v>8.9818999999999996</v>
      </c>
      <c r="Q23">
        <v>0</v>
      </c>
      <c r="R23">
        <v>0</v>
      </c>
      <c r="S23" s="1">
        <f t="shared" si="0"/>
        <v>0.69446000000000074</v>
      </c>
      <c r="T23" s="2">
        <f t="shared" si="1"/>
        <v>69.446000000000069</v>
      </c>
    </row>
    <row r="24" spans="1:20" x14ac:dyDescent="0.2">
      <c r="A24" t="s">
        <v>821</v>
      </c>
      <c r="D24">
        <v>0</v>
      </c>
      <c r="E24">
        <v>9.2955000000000005</v>
      </c>
      <c r="L24" t="s">
        <v>821</v>
      </c>
      <c r="M24">
        <v>9.2959999999999994</v>
      </c>
      <c r="N24">
        <v>0</v>
      </c>
      <c r="O24">
        <v>0</v>
      </c>
      <c r="P24">
        <v>9.2955000000000005</v>
      </c>
      <c r="Q24">
        <v>0</v>
      </c>
      <c r="R24">
        <v>0</v>
      </c>
      <c r="S24" s="1">
        <f t="shared" si="0"/>
        <v>0.6015000000000007</v>
      </c>
      <c r="T24" s="2">
        <f t="shared" si="1"/>
        <v>60.15000000000007</v>
      </c>
    </row>
    <row r="25" spans="1:20" x14ac:dyDescent="0.2">
      <c r="A25" t="s">
        <v>822</v>
      </c>
      <c r="D25">
        <v>0</v>
      </c>
      <c r="E25">
        <v>8.8163499999999999</v>
      </c>
      <c r="L25" t="s">
        <v>822</v>
      </c>
      <c r="M25">
        <v>8.8160000000000007</v>
      </c>
      <c r="N25">
        <v>0</v>
      </c>
      <c r="O25">
        <v>0</v>
      </c>
      <c r="P25">
        <v>8.8163499999999999</v>
      </c>
      <c r="Q25">
        <v>0</v>
      </c>
      <c r="R25">
        <v>0</v>
      </c>
      <c r="S25" s="1">
        <f t="shared" si="0"/>
        <v>0.51334000000000068</v>
      </c>
      <c r="T25" s="2">
        <f t="shared" si="1"/>
        <v>51.334000000000067</v>
      </c>
    </row>
    <row r="26" spans="1:20" x14ac:dyDescent="0.2">
      <c r="A26" t="s">
        <v>823</v>
      </c>
      <c r="D26">
        <v>0</v>
      </c>
      <c r="E26">
        <v>8.3371999999999993</v>
      </c>
      <c r="L26" t="s">
        <v>823</v>
      </c>
      <c r="M26">
        <v>8.3369999999999997</v>
      </c>
      <c r="N26">
        <v>0</v>
      </c>
      <c r="O26">
        <v>0</v>
      </c>
      <c r="P26">
        <v>8.3371999999999993</v>
      </c>
      <c r="Q26">
        <v>0</v>
      </c>
      <c r="R26">
        <v>0</v>
      </c>
      <c r="S26" s="1">
        <f t="shared" si="0"/>
        <v>0.42997000000000068</v>
      </c>
      <c r="T26" s="2">
        <f t="shared" si="1"/>
        <v>42.997000000000071</v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1:X26"/>
  <sheetViews>
    <sheetView workbookViewId="0"/>
  </sheetViews>
  <sheetFormatPr baseColWidth="10" defaultColWidth="8.83203125" defaultRowHeight="15" x14ac:dyDescent="0.2"/>
  <sheetData>
    <row r="1" spans="1:24" x14ac:dyDescent="0.2">
      <c r="A1" t="s">
        <v>0</v>
      </c>
      <c r="D1" t="s">
        <v>1</v>
      </c>
      <c r="L1" t="s">
        <v>2</v>
      </c>
      <c r="R1" t="s">
        <v>3</v>
      </c>
      <c r="S1" s="1">
        <v>0.42997000000000041</v>
      </c>
      <c r="T1">
        <f>S1*V1</f>
        <v>42.997000000000043</v>
      </c>
      <c r="U1" t="s">
        <v>4</v>
      </c>
      <c r="V1">
        <v>100</v>
      </c>
      <c r="W1" t="s">
        <v>5</v>
      </c>
      <c r="X1" s="1">
        <v>0.1</v>
      </c>
    </row>
    <row r="2" spans="1:24" x14ac:dyDescent="0.2">
      <c r="A2" t="s">
        <v>6</v>
      </c>
      <c r="B2" t="s">
        <v>7</v>
      </c>
      <c r="C2" t="s">
        <v>8</v>
      </c>
      <c r="D2" t="s">
        <v>9</v>
      </c>
      <c r="E2" t="s">
        <v>10</v>
      </c>
      <c r="F2" t="s">
        <v>11</v>
      </c>
      <c r="G2" t="s">
        <v>12</v>
      </c>
      <c r="H2" t="s">
        <v>13</v>
      </c>
      <c r="I2" t="s">
        <v>14</v>
      </c>
      <c r="L2" t="s">
        <v>6</v>
      </c>
      <c r="M2" t="s">
        <v>7</v>
      </c>
      <c r="N2" t="s">
        <v>8</v>
      </c>
      <c r="O2" t="s">
        <v>9</v>
      </c>
      <c r="P2" t="s">
        <v>10</v>
      </c>
      <c r="Q2" t="s">
        <v>11</v>
      </c>
      <c r="R2" t="s">
        <v>12</v>
      </c>
      <c r="S2" t="s">
        <v>13</v>
      </c>
      <c r="T2" t="s">
        <v>14</v>
      </c>
      <c r="W2" t="s">
        <v>15</v>
      </c>
      <c r="X2" s="1">
        <v>1</v>
      </c>
    </row>
    <row r="3" spans="1:24" x14ac:dyDescent="0.2">
      <c r="A3" t="s">
        <v>824</v>
      </c>
      <c r="D3">
        <v>0</v>
      </c>
      <c r="E3">
        <v>11.415298999999999</v>
      </c>
      <c r="L3" t="s">
        <v>824</v>
      </c>
      <c r="M3">
        <v>0</v>
      </c>
      <c r="N3">
        <v>0</v>
      </c>
      <c r="O3">
        <v>0</v>
      </c>
      <c r="P3">
        <v>11.415298999999999</v>
      </c>
      <c r="Q3">
        <v>0</v>
      </c>
      <c r="R3">
        <v>11.415298999999999</v>
      </c>
      <c r="S3" s="1">
        <f t="shared" ref="S3:S26" si="0">T3/V$1</f>
        <v>0.42997000000000041</v>
      </c>
      <c r="T3" s="2">
        <f>T1-M3+N3</f>
        <v>42.997000000000043</v>
      </c>
    </row>
    <row r="4" spans="1:24" x14ac:dyDescent="0.2">
      <c r="A4" t="s">
        <v>825</v>
      </c>
      <c r="D4">
        <v>0</v>
      </c>
      <c r="E4">
        <v>12.28335</v>
      </c>
      <c r="L4" t="s">
        <v>825</v>
      </c>
      <c r="M4">
        <v>0</v>
      </c>
      <c r="N4">
        <v>0</v>
      </c>
      <c r="O4">
        <v>0</v>
      </c>
      <c r="P4">
        <v>12.28335</v>
      </c>
      <c r="Q4">
        <v>0</v>
      </c>
      <c r="R4">
        <v>12.28335</v>
      </c>
      <c r="S4" s="1">
        <f t="shared" si="0"/>
        <v>0.42997000000000041</v>
      </c>
      <c r="T4" s="2">
        <f t="shared" ref="T4:T26" si="1">T3-M4+N4</f>
        <v>42.997000000000043</v>
      </c>
    </row>
    <row r="5" spans="1:24" x14ac:dyDescent="0.2">
      <c r="A5" t="s">
        <v>826</v>
      </c>
      <c r="D5">
        <v>0</v>
      </c>
      <c r="E5">
        <v>10.428699999999999</v>
      </c>
      <c r="L5" t="s">
        <v>826</v>
      </c>
      <c r="M5">
        <v>0</v>
      </c>
      <c r="N5">
        <v>0</v>
      </c>
      <c r="O5">
        <v>0</v>
      </c>
      <c r="P5">
        <v>10.428699999999999</v>
      </c>
      <c r="Q5">
        <v>0</v>
      </c>
      <c r="R5">
        <v>10.428699999999999</v>
      </c>
      <c r="S5" s="1">
        <f t="shared" si="0"/>
        <v>0.42997000000000041</v>
      </c>
      <c r="T5" s="2">
        <f t="shared" si="1"/>
        <v>42.997000000000043</v>
      </c>
    </row>
    <row r="6" spans="1:24" x14ac:dyDescent="0.2">
      <c r="A6" t="s">
        <v>827</v>
      </c>
      <c r="D6">
        <v>0</v>
      </c>
      <c r="E6">
        <v>9.1965489999999992</v>
      </c>
      <c r="L6" t="s">
        <v>827</v>
      </c>
      <c r="M6">
        <v>0</v>
      </c>
      <c r="N6">
        <v>0</v>
      </c>
      <c r="O6">
        <v>0</v>
      </c>
      <c r="P6">
        <v>9.1965489999999992</v>
      </c>
      <c r="Q6">
        <v>0</v>
      </c>
      <c r="R6">
        <v>9.1965489999999992</v>
      </c>
      <c r="S6" s="1">
        <f t="shared" si="0"/>
        <v>0.42997000000000041</v>
      </c>
      <c r="T6" s="2">
        <f t="shared" si="1"/>
        <v>42.997000000000043</v>
      </c>
      <c r="V6" t="s">
        <v>20</v>
      </c>
      <c r="W6" t="s">
        <v>828</v>
      </c>
    </row>
    <row r="7" spans="1:24" x14ac:dyDescent="0.2">
      <c r="A7" t="s">
        <v>829</v>
      </c>
      <c r="D7">
        <v>0</v>
      </c>
      <c r="E7">
        <v>6.9426002999999996</v>
      </c>
      <c r="L7" t="s">
        <v>829</v>
      </c>
      <c r="M7">
        <v>2.7149999999999999</v>
      </c>
      <c r="N7">
        <v>0</v>
      </c>
      <c r="O7">
        <v>0</v>
      </c>
      <c r="P7">
        <v>6.9426002999999996</v>
      </c>
      <c r="Q7">
        <v>0</v>
      </c>
      <c r="R7">
        <v>4.2276002999999998</v>
      </c>
      <c r="S7" s="1">
        <f t="shared" si="0"/>
        <v>0.4028200000000004</v>
      </c>
      <c r="T7" s="2">
        <f t="shared" si="1"/>
        <v>40.282000000000039</v>
      </c>
      <c r="V7" t="s">
        <v>23</v>
      </c>
      <c r="W7" t="s">
        <v>24</v>
      </c>
    </row>
    <row r="8" spans="1:24" x14ac:dyDescent="0.2">
      <c r="A8" t="s">
        <v>830</v>
      </c>
      <c r="D8">
        <v>0</v>
      </c>
      <c r="E8">
        <v>6.4946003000000001</v>
      </c>
      <c r="L8" t="s">
        <v>830</v>
      </c>
      <c r="M8">
        <v>6.4950000000000001</v>
      </c>
      <c r="N8">
        <v>0</v>
      </c>
      <c r="O8">
        <v>0</v>
      </c>
      <c r="P8">
        <v>6.4946003000000001</v>
      </c>
      <c r="Q8">
        <v>0</v>
      </c>
      <c r="R8">
        <v>0</v>
      </c>
      <c r="S8" s="1">
        <f t="shared" si="0"/>
        <v>0.33787000000000039</v>
      </c>
      <c r="T8" s="2">
        <f t="shared" si="1"/>
        <v>33.787000000000042</v>
      </c>
      <c r="V8" t="s">
        <v>26</v>
      </c>
      <c r="W8">
        <v>8.2000000000000003E-2</v>
      </c>
    </row>
    <row r="9" spans="1:24" x14ac:dyDescent="0.2">
      <c r="A9" t="s">
        <v>831</v>
      </c>
      <c r="D9">
        <v>0</v>
      </c>
      <c r="E9">
        <v>6.5986000000000002</v>
      </c>
      <c r="L9" t="s">
        <v>831</v>
      </c>
      <c r="M9">
        <v>6.5990000000000002</v>
      </c>
      <c r="N9">
        <v>0</v>
      </c>
      <c r="O9">
        <v>0</v>
      </c>
      <c r="P9">
        <v>6.5986000000000002</v>
      </c>
      <c r="Q9">
        <v>0</v>
      </c>
      <c r="R9">
        <v>0</v>
      </c>
      <c r="S9" s="1">
        <f t="shared" si="0"/>
        <v>0.2718800000000004</v>
      </c>
      <c r="T9" s="2">
        <f t="shared" si="1"/>
        <v>27.188000000000041</v>
      </c>
      <c r="V9" t="s">
        <v>28</v>
      </c>
      <c r="W9">
        <f>W8/60</f>
        <v>1.3666666666666666E-3</v>
      </c>
    </row>
    <row r="10" spans="1:24" x14ac:dyDescent="0.2">
      <c r="A10" t="s">
        <v>832</v>
      </c>
      <c r="D10">
        <v>0</v>
      </c>
      <c r="E10">
        <v>6.4058999999999999</v>
      </c>
      <c r="L10" t="s">
        <v>832</v>
      </c>
      <c r="M10">
        <v>6.4059999999999997</v>
      </c>
      <c r="N10">
        <v>0</v>
      </c>
      <c r="O10">
        <v>0</v>
      </c>
      <c r="P10">
        <v>6.4058999999999999</v>
      </c>
      <c r="Q10">
        <v>0</v>
      </c>
      <c r="R10">
        <v>0</v>
      </c>
      <c r="S10" s="1">
        <f t="shared" si="0"/>
        <v>0.20782000000000042</v>
      </c>
      <c r="T10" s="2">
        <f t="shared" si="1"/>
        <v>20.782000000000043</v>
      </c>
    </row>
    <row r="11" spans="1:24" x14ac:dyDescent="0.2">
      <c r="A11" t="s">
        <v>833</v>
      </c>
      <c r="D11">
        <v>0.66014885999999995</v>
      </c>
      <c r="E11">
        <v>6.5735497000000001</v>
      </c>
      <c r="L11" t="s">
        <v>833</v>
      </c>
      <c r="M11">
        <v>0</v>
      </c>
      <c r="N11">
        <v>0</v>
      </c>
      <c r="O11">
        <v>0.66014885999999995</v>
      </c>
      <c r="P11">
        <v>6.5735497000000001</v>
      </c>
      <c r="Q11">
        <v>0</v>
      </c>
      <c r="R11">
        <v>5.9134008400000004</v>
      </c>
      <c r="S11" s="1">
        <f t="shared" si="0"/>
        <v>0.20782000000000042</v>
      </c>
      <c r="T11" s="2">
        <f t="shared" si="1"/>
        <v>20.782000000000043</v>
      </c>
    </row>
    <row r="12" spans="1:24" x14ac:dyDescent="0.2">
      <c r="A12" t="s">
        <v>834</v>
      </c>
      <c r="D12">
        <v>5.54955</v>
      </c>
      <c r="E12">
        <v>6.4371</v>
      </c>
      <c r="L12" t="s">
        <v>834</v>
      </c>
      <c r="M12">
        <v>0.88800000000000001</v>
      </c>
      <c r="N12">
        <v>0</v>
      </c>
      <c r="O12">
        <v>5.54955</v>
      </c>
      <c r="P12">
        <v>6.4371</v>
      </c>
      <c r="Q12">
        <v>0</v>
      </c>
      <c r="R12">
        <v>0</v>
      </c>
      <c r="S12" s="1">
        <f t="shared" si="0"/>
        <v>0.19894000000000042</v>
      </c>
      <c r="T12" s="2">
        <f t="shared" si="1"/>
        <v>19.894000000000041</v>
      </c>
    </row>
    <row r="13" spans="1:24" x14ac:dyDescent="0.2">
      <c r="A13" t="s">
        <v>835</v>
      </c>
      <c r="D13">
        <v>18.338200000000001</v>
      </c>
      <c r="E13">
        <v>6.3006500000000001</v>
      </c>
      <c r="L13" t="s">
        <v>835</v>
      </c>
      <c r="M13">
        <v>0</v>
      </c>
      <c r="N13">
        <v>12.038</v>
      </c>
      <c r="O13">
        <v>18.338200000000001</v>
      </c>
      <c r="P13">
        <v>6.3006500000000001</v>
      </c>
      <c r="Q13">
        <v>0</v>
      </c>
      <c r="R13">
        <v>0</v>
      </c>
      <c r="S13" s="1">
        <f t="shared" si="0"/>
        <v>0.31932000000000044</v>
      </c>
      <c r="T13" s="2">
        <f t="shared" si="1"/>
        <v>31.932000000000041</v>
      </c>
    </row>
    <row r="14" spans="1:24" x14ac:dyDescent="0.2">
      <c r="A14" t="s">
        <v>836</v>
      </c>
      <c r="D14">
        <v>12.185499999999999</v>
      </c>
      <c r="E14">
        <v>6.3140749999999999</v>
      </c>
      <c r="L14" t="s">
        <v>836</v>
      </c>
      <c r="M14">
        <v>0</v>
      </c>
      <c r="N14">
        <v>5.8710000000000004</v>
      </c>
      <c r="O14">
        <v>12.185499999999999</v>
      </c>
      <c r="P14">
        <v>6.3140749999999999</v>
      </c>
      <c r="Q14">
        <v>0</v>
      </c>
      <c r="R14">
        <v>0</v>
      </c>
      <c r="S14" s="1">
        <f t="shared" si="0"/>
        <v>0.37803000000000042</v>
      </c>
      <c r="T14" s="2">
        <f t="shared" si="1"/>
        <v>37.80300000000004</v>
      </c>
    </row>
    <row r="15" spans="1:24" x14ac:dyDescent="0.2">
      <c r="A15" t="s">
        <v>837</v>
      </c>
      <c r="D15">
        <v>4.6415499999999996</v>
      </c>
      <c r="E15">
        <v>6.5583499999999999</v>
      </c>
      <c r="L15" t="s">
        <v>837</v>
      </c>
      <c r="M15">
        <v>1.917</v>
      </c>
      <c r="N15">
        <v>0</v>
      </c>
      <c r="O15">
        <v>4.6415499999999996</v>
      </c>
      <c r="P15">
        <v>6.5583499999999999</v>
      </c>
      <c r="Q15">
        <v>0</v>
      </c>
      <c r="R15">
        <v>0</v>
      </c>
      <c r="S15" s="1">
        <f t="shared" si="0"/>
        <v>0.3588600000000004</v>
      </c>
      <c r="T15" s="2">
        <f t="shared" si="1"/>
        <v>35.886000000000038</v>
      </c>
    </row>
    <row r="16" spans="1:24" x14ac:dyDescent="0.2">
      <c r="A16" t="s">
        <v>838</v>
      </c>
      <c r="D16">
        <v>5.589175</v>
      </c>
      <c r="E16">
        <v>6.4046000000000003</v>
      </c>
      <c r="L16" t="s">
        <v>838</v>
      </c>
      <c r="M16">
        <v>0.81499999999999995</v>
      </c>
      <c r="N16">
        <v>0</v>
      </c>
      <c r="O16">
        <v>5.589175</v>
      </c>
      <c r="P16">
        <v>6.4046000000000003</v>
      </c>
      <c r="Q16">
        <v>0</v>
      </c>
      <c r="R16">
        <v>0</v>
      </c>
      <c r="S16" s="1">
        <f t="shared" si="0"/>
        <v>0.35071000000000041</v>
      </c>
      <c r="T16" s="2">
        <f t="shared" si="1"/>
        <v>35.071000000000041</v>
      </c>
    </row>
    <row r="17" spans="1:20" x14ac:dyDescent="0.2">
      <c r="A17" t="s">
        <v>839</v>
      </c>
      <c r="D17">
        <v>8.4941750000000003</v>
      </c>
      <c r="E17">
        <v>13.999599</v>
      </c>
      <c r="L17" t="s">
        <v>839</v>
      </c>
      <c r="M17">
        <v>5.5049999999999999</v>
      </c>
      <c r="N17">
        <v>0</v>
      </c>
      <c r="O17">
        <v>8.4941750000000003</v>
      </c>
      <c r="P17">
        <v>13.999599</v>
      </c>
      <c r="Q17">
        <v>0</v>
      </c>
      <c r="R17">
        <v>0</v>
      </c>
      <c r="S17" s="1">
        <f t="shared" si="0"/>
        <v>0.29566000000000042</v>
      </c>
      <c r="T17" s="2">
        <f t="shared" si="1"/>
        <v>29.566000000000042</v>
      </c>
    </row>
    <row r="18" spans="1:20" x14ac:dyDescent="0.2">
      <c r="A18" t="s">
        <v>840</v>
      </c>
      <c r="D18">
        <v>4.0461</v>
      </c>
      <c r="E18">
        <v>13.159800000000001</v>
      </c>
      <c r="L18" t="s">
        <v>840</v>
      </c>
      <c r="M18">
        <v>9.1140000000000008</v>
      </c>
      <c r="N18">
        <v>0</v>
      </c>
      <c r="O18">
        <v>4.0461</v>
      </c>
      <c r="P18">
        <v>13.159800000000001</v>
      </c>
      <c r="Q18">
        <v>0</v>
      </c>
      <c r="R18">
        <v>0</v>
      </c>
      <c r="S18" s="1">
        <f t="shared" si="0"/>
        <v>0.2045200000000004</v>
      </c>
      <c r="T18" s="2">
        <f t="shared" si="1"/>
        <v>20.452000000000041</v>
      </c>
    </row>
    <row r="19" spans="1:20" x14ac:dyDescent="0.2">
      <c r="A19" t="s">
        <v>841</v>
      </c>
      <c r="D19">
        <v>3.9910003999999999</v>
      </c>
      <c r="E19">
        <v>13.554349999999999</v>
      </c>
      <c r="L19" t="s">
        <v>841</v>
      </c>
      <c r="M19">
        <v>0</v>
      </c>
      <c r="N19">
        <v>0</v>
      </c>
      <c r="O19">
        <v>3.9910003999999999</v>
      </c>
      <c r="P19">
        <v>13.554349999999999</v>
      </c>
      <c r="Q19">
        <v>0</v>
      </c>
      <c r="R19">
        <v>9.5633495999999987</v>
      </c>
      <c r="S19" s="1">
        <f t="shared" si="0"/>
        <v>0.2045200000000004</v>
      </c>
      <c r="T19" s="2">
        <f t="shared" si="1"/>
        <v>20.452000000000041</v>
      </c>
    </row>
    <row r="20" spans="1:20" x14ac:dyDescent="0.2">
      <c r="A20" t="s">
        <v>842</v>
      </c>
      <c r="D20">
        <v>0.22310004999999999</v>
      </c>
      <c r="E20">
        <v>13.9489</v>
      </c>
      <c r="L20" t="s">
        <v>842</v>
      </c>
      <c r="M20">
        <v>0</v>
      </c>
      <c r="N20">
        <v>0</v>
      </c>
      <c r="O20">
        <v>0.22310004999999999</v>
      </c>
      <c r="P20">
        <v>13.9489</v>
      </c>
      <c r="Q20">
        <v>0</v>
      </c>
      <c r="R20">
        <v>13.725799950000001</v>
      </c>
      <c r="S20" s="1">
        <f t="shared" si="0"/>
        <v>0.2045200000000004</v>
      </c>
      <c r="T20" s="2">
        <f t="shared" si="1"/>
        <v>20.452000000000041</v>
      </c>
    </row>
    <row r="21" spans="1:20" x14ac:dyDescent="0.2">
      <c r="A21" t="s">
        <v>843</v>
      </c>
      <c r="D21">
        <v>0</v>
      </c>
      <c r="E21">
        <v>12.82025</v>
      </c>
      <c r="L21" t="s">
        <v>843</v>
      </c>
      <c r="M21">
        <v>0</v>
      </c>
      <c r="N21">
        <v>0</v>
      </c>
      <c r="O21">
        <v>0</v>
      </c>
      <c r="P21">
        <v>12.82025</v>
      </c>
      <c r="Q21">
        <v>0</v>
      </c>
      <c r="R21">
        <v>12.82025</v>
      </c>
      <c r="S21" s="1">
        <f t="shared" si="0"/>
        <v>0.2045200000000004</v>
      </c>
      <c r="T21" s="2">
        <f t="shared" si="1"/>
        <v>20.452000000000041</v>
      </c>
    </row>
    <row r="22" spans="1:20" x14ac:dyDescent="0.2">
      <c r="A22" t="s">
        <v>844</v>
      </c>
      <c r="D22">
        <v>0</v>
      </c>
      <c r="E22">
        <v>11.923799499999999</v>
      </c>
      <c r="L22" t="s">
        <v>844</v>
      </c>
      <c r="M22">
        <v>0</v>
      </c>
      <c r="N22">
        <v>0</v>
      </c>
      <c r="O22">
        <v>0</v>
      </c>
      <c r="P22">
        <v>11.923799499999999</v>
      </c>
      <c r="Q22">
        <v>0</v>
      </c>
      <c r="R22">
        <v>11.923799499999999</v>
      </c>
      <c r="S22" s="1">
        <f t="shared" si="0"/>
        <v>0.2045200000000004</v>
      </c>
      <c r="T22" s="2">
        <f t="shared" si="1"/>
        <v>20.452000000000041</v>
      </c>
    </row>
    <row r="23" spans="1:20" x14ac:dyDescent="0.2">
      <c r="A23" t="s">
        <v>845</v>
      </c>
      <c r="D23">
        <v>0</v>
      </c>
      <c r="E23">
        <v>11.18985</v>
      </c>
      <c r="L23" t="s">
        <v>845</v>
      </c>
      <c r="M23">
        <v>0</v>
      </c>
      <c r="N23">
        <v>0</v>
      </c>
      <c r="O23">
        <v>0</v>
      </c>
      <c r="P23">
        <v>11.18985</v>
      </c>
      <c r="Q23">
        <v>0</v>
      </c>
      <c r="R23">
        <v>11.18985</v>
      </c>
      <c r="S23" s="1">
        <f t="shared" si="0"/>
        <v>0.2045200000000004</v>
      </c>
      <c r="T23" s="2">
        <f t="shared" si="1"/>
        <v>20.452000000000041</v>
      </c>
    </row>
    <row r="24" spans="1:20" x14ac:dyDescent="0.2">
      <c r="A24" t="s">
        <v>846</v>
      </c>
      <c r="D24">
        <v>0</v>
      </c>
      <c r="E24">
        <v>10.559298999999999</v>
      </c>
      <c r="L24" t="s">
        <v>846</v>
      </c>
      <c r="M24">
        <v>0</v>
      </c>
      <c r="N24">
        <v>0</v>
      </c>
      <c r="O24">
        <v>0</v>
      </c>
      <c r="P24">
        <v>10.559298999999999</v>
      </c>
      <c r="Q24">
        <v>0</v>
      </c>
      <c r="R24">
        <v>10.559298999999999</v>
      </c>
      <c r="S24" s="1">
        <f t="shared" si="0"/>
        <v>0.2045200000000004</v>
      </c>
      <c r="T24" s="2">
        <f t="shared" si="1"/>
        <v>20.452000000000041</v>
      </c>
    </row>
    <row r="25" spans="1:20" x14ac:dyDescent="0.2">
      <c r="A25" t="s">
        <v>847</v>
      </c>
      <c r="D25">
        <v>0</v>
      </c>
      <c r="E25">
        <v>10.453151</v>
      </c>
      <c r="L25" t="s">
        <v>847</v>
      </c>
      <c r="M25">
        <v>10.452999999999999</v>
      </c>
      <c r="N25">
        <v>0</v>
      </c>
      <c r="O25">
        <v>0</v>
      </c>
      <c r="P25">
        <v>10.453151</v>
      </c>
      <c r="Q25">
        <v>0</v>
      </c>
      <c r="R25">
        <v>0</v>
      </c>
      <c r="S25" s="1">
        <f t="shared" si="0"/>
        <v>9.9990000000000412E-2</v>
      </c>
      <c r="T25" s="2">
        <f t="shared" si="1"/>
        <v>9.9990000000000414</v>
      </c>
    </row>
    <row r="26" spans="1:20" x14ac:dyDescent="0.2">
      <c r="A26" t="s">
        <v>848</v>
      </c>
      <c r="D26">
        <v>0</v>
      </c>
      <c r="E26">
        <v>10.347</v>
      </c>
      <c r="L26" t="s">
        <v>848</v>
      </c>
      <c r="M26">
        <v>0</v>
      </c>
      <c r="N26">
        <v>0</v>
      </c>
      <c r="O26">
        <v>0</v>
      </c>
      <c r="P26">
        <v>10.347</v>
      </c>
      <c r="Q26">
        <v>0</v>
      </c>
      <c r="R26">
        <v>10.347</v>
      </c>
      <c r="S26" s="1">
        <f t="shared" si="0"/>
        <v>9.9990000000000412E-2</v>
      </c>
      <c r="T26" s="2">
        <f t="shared" si="1"/>
        <v>9.9990000000000414</v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1:W26"/>
  <sheetViews>
    <sheetView workbookViewId="0"/>
  </sheetViews>
  <sheetFormatPr baseColWidth="10" defaultColWidth="8.83203125" defaultRowHeight="15" x14ac:dyDescent="0.2"/>
  <sheetData>
    <row r="1" spans="1:23" x14ac:dyDescent="0.2">
      <c r="A1" t="s">
        <v>0</v>
      </c>
      <c r="D1" t="s">
        <v>1</v>
      </c>
      <c r="L1" t="s">
        <v>2</v>
      </c>
      <c r="R1" t="s">
        <v>3</v>
      </c>
      <c r="S1" s="1">
        <v>9.9990000000000551E-2</v>
      </c>
      <c r="T1">
        <f>S1*V1</f>
        <v>0</v>
      </c>
    </row>
    <row r="2" spans="1:23" x14ac:dyDescent="0.2">
      <c r="A2" t="s">
        <v>6</v>
      </c>
      <c r="B2" t="s">
        <v>7</v>
      </c>
      <c r="C2" t="s">
        <v>8</v>
      </c>
      <c r="D2" t="s">
        <v>9</v>
      </c>
      <c r="E2" t="s">
        <v>10</v>
      </c>
      <c r="F2" t="s">
        <v>11</v>
      </c>
      <c r="G2" t="s">
        <v>12</v>
      </c>
      <c r="H2" t="s">
        <v>13</v>
      </c>
      <c r="I2" t="s">
        <v>14</v>
      </c>
      <c r="L2" t="s">
        <v>6</v>
      </c>
      <c r="M2" t="s">
        <v>7</v>
      </c>
      <c r="N2" t="s">
        <v>8</v>
      </c>
      <c r="O2" t="s">
        <v>9</v>
      </c>
      <c r="P2" t="s">
        <v>10</v>
      </c>
      <c r="Q2" t="s">
        <v>11</v>
      </c>
      <c r="R2" t="s">
        <v>12</v>
      </c>
      <c r="S2" t="s">
        <v>13</v>
      </c>
      <c r="T2" t="s">
        <v>14</v>
      </c>
    </row>
    <row r="3" spans="1:23" x14ac:dyDescent="0.2">
      <c r="A3" t="s">
        <v>849</v>
      </c>
      <c r="D3">
        <v>0</v>
      </c>
      <c r="E3">
        <v>11.016999999999999</v>
      </c>
    </row>
    <row r="4" spans="1:23" x14ac:dyDescent="0.2">
      <c r="A4" t="s">
        <v>850</v>
      </c>
      <c r="D4">
        <v>0</v>
      </c>
      <c r="E4">
        <v>10.673598999999999</v>
      </c>
    </row>
    <row r="5" spans="1:23" x14ac:dyDescent="0.2">
      <c r="A5" t="s">
        <v>851</v>
      </c>
      <c r="D5">
        <v>0</v>
      </c>
      <c r="E5">
        <v>8.6857659999999992</v>
      </c>
    </row>
    <row r="6" spans="1:23" x14ac:dyDescent="0.2">
      <c r="A6" t="s">
        <v>852</v>
      </c>
      <c r="D6">
        <v>0</v>
      </c>
      <c r="E6">
        <v>6.6979329999999999</v>
      </c>
      <c r="V6" t="s">
        <v>20</v>
      </c>
      <c r="W6" t="s">
        <v>853</v>
      </c>
    </row>
    <row r="7" spans="1:23" x14ac:dyDescent="0.2">
      <c r="A7" t="s">
        <v>854</v>
      </c>
      <c r="D7">
        <v>0</v>
      </c>
      <c r="E7">
        <v>6.5761000000000003</v>
      </c>
      <c r="V7" t="s">
        <v>23</v>
      </c>
    </row>
    <row r="8" spans="1:23" x14ac:dyDescent="0.2">
      <c r="A8" t="s">
        <v>855</v>
      </c>
      <c r="D8">
        <v>0</v>
      </c>
      <c r="E8">
        <v>6.4542665000000001</v>
      </c>
      <c r="V8" t="s">
        <v>26</v>
      </c>
      <c r="W8" t="s">
        <v>856</v>
      </c>
    </row>
    <row r="9" spans="1:23" x14ac:dyDescent="0.2">
      <c r="A9" t="s">
        <v>857</v>
      </c>
      <c r="D9">
        <v>0</v>
      </c>
      <c r="E9">
        <v>6.6209499999999997</v>
      </c>
      <c r="V9" t="s">
        <v>28</v>
      </c>
      <c r="W9" t="e">
        <f>W8/60</f>
        <v>#VALUE!</v>
      </c>
    </row>
    <row r="10" spans="1:23" x14ac:dyDescent="0.2">
      <c r="A10" t="s">
        <v>858</v>
      </c>
      <c r="D10">
        <v>0</v>
      </c>
      <c r="E10">
        <v>6.7876333999999998</v>
      </c>
    </row>
    <row r="11" spans="1:23" x14ac:dyDescent="0.2">
      <c r="A11" t="s">
        <v>859</v>
      </c>
      <c r="D11">
        <v>1.0338236999999999</v>
      </c>
      <c r="E11">
        <v>6.6308999999999996</v>
      </c>
    </row>
    <row r="12" spans="1:23" x14ac:dyDescent="0.2">
      <c r="A12" t="s">
        <v>860</v>
      </c>
      <c r="D12">
        <v>2.2051500000000002</v>
      </c>
      <c r="E12">
        <v>6.4714999999999998</v>
      </c>
    </row>
    <row r="13" spans="1:23" x14ac:dyDescent="0.2">
      <c r="A13" t="s">
        <v>861</v>
      </c>
      <c r="D13">
        <v>3.7658002000000002</v>
      </c>
      <c r="E13">
        <v>6.3121</v>
      </c>
    </row>
    <row r="14" spans="1:23" x14ac:dyDescent="0.2">
      <c r="A14" t="s">
        <v>862</v>
      </c>
      <c r="D14">
        <v>3.8691499999999999</v>
      </c>
      <c r="E14">
        <v>6.43262</v>
      </c>
    </row>
    <row r="15" spans="1:23" x14ac:dyDescent="0.2">
      <c r="A15" t="s">
        <v>863</v>
      </c>
      <c r="D15">
        <v>1.9211001000000001</v>
      </c>
      <c r="E15">
        <v>6.55314</v>
      </c>
    </row>
    <row r="16" spans="1:23" x14ac:dyDescent="0.2">
      <c r="A16" t="s">
        <v>864</v>
      </c>
      <c r="D16">
        <v>4.632701</v>
      </c>
      <c r="E16">
        <v>6.450933</v>
      </c>
    </row>
    <row r="17" spans="1:5" x14ac:dyDescent="0.2">
      <c r="A17" t="s">
        <v>865</v>
      </c>
      <c r="D17">
        <v>3.1155249999999999</v>
      </c>
      <c r="E17">
        <v>6.3159999999999998</v>
      </c>
    </row>
    <row r="18" spans="1:5" x14ac:dyDescent="0.2">
      <c r="A18" t="s">
        <v>866</v>
      </c>
      <c r="D18">
        <v>2.1295502000000002</v>
      </c>
      <c r="E18">
        <v>14.8942</v>
      </c>
    </row>
    <row r="19" spans="1:5" x14ac:dyDescent="0.2">
      <c r="A19" t="s">
        <v>867</v>
      </c>
      <c r="D19">
        <v>0.37145065999999999</v>
      </c>
      <c r="E19">
        <v>13.415699999999999</v>
      </c>
    </row>
    <row r="20" spans="1:5" x14ac:dyDescent="0.2">
      <c r="A20" t="s">
        <v>868</v>
      </c>
      <c r="D20">
        <v>0</v>
      </c>
      <c r="E20">
        <v>11.937201</v>
      </c>
    </row>
    <row r="21" spans="1:5" x14ac:dyDescent="0.2">
      <c r="A21" t="s">
        <v>869</v>
      </c>
      <c r="D21">
        <v>0</v>
      </c>
      <c r="E21">
        <v>13.167365999999999</v>
      </c>
    </row>
    <row r="22" spans="1:5" x14ac:dyDescent="0.2">
      <c r="A22" t="s">
        <v>870</v>
      </c>
      <c r="D22">
        <v>0</v>
      </c>
      <c r="E22">
        <v>12.364934</v>
      </c>
    </row>
    <row r="23" spans="1:5" x14ac:dyDescent="0.2">
      <c r="A23" t="s">
        <v>871</v>
      </c>
      <c r="D23">
        <v>0</v>
      </c>
      <c r="E23">
        <v>12.1776</v>
      </c>
    </row>
    <row r="24" spans="1:5" x14ac:dyDescent="0.2">
      <c r="A24" t="s">
        <v>872</v>
      </c>
      <c r="D24">
        <v>0</v>
      </c>
      <c r="E24">
        <v>11.990266999999999</v>
      </c>
    </row>
    <row r="25" spans="1:5" x14ac:dyDescent="0.2">
      <c r="A25" t="s">
        <v>873</v>
      </c>
      <c r="D25">
        <v>0</v>
      </c>
      <c r="E25">
        <v>11.738299</v>
      </c>
    </row>
    <row r="26" spans="1:5" x14ac:dyDescent="0.2">
      <c r="A26" t="s">
        <v>874</v>
      </c>
      <c r="D26">
        <v>0</v>
      </c>
      <c r="E26">
        <v>11.893800000000001</v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1:W26"/>
  <sheetViews>
    <sheetView workbookViewId="0"/>
  </sheetViews>
  <sheetFormatPr baseColWidth="10" defaultColWidth="8.83203125" defaultRowHeight="15" x14ac:dyDescent="0.2"/>
  <sheetData>
    <row r="1" spans="1:23" x14ac:dyDescent="0.2">
      <c r="A1" t="s">
        <v>0</v>
      </c>
      <c r="D1" t="s">
        <v>1</v>
      </c>
      <c r="L1" t="s">
        <v>2</v>
      </c>
      <c r="R1" t="s">
        <v>3</v>
      </c>
      <c r="S1" s="1">
        <v>0</v>
      </c>
      <c r="T1">
        <f>S1*V1</f>
        <v>0</v>
      </c>
    </row>
    <row r="2" spans="1:23" x14ac:dyDescent="0.2">
      <c r="A2" t="s">
        <v>6</v>
      </c>
      <c r="B2" t="s">
        <v>7</v>
      </c>
      <c r="C2" t="s">
        <v>8</v>
      </c>
      <c r="D2" t="s">
        <v>9</v>
      </c>
      <c r="E2" t="s">
        <v>10</v>
      </c>
      <c r="F2" t="s">
        <v>11</v>
      </c>
      <c r="G2" t="s">
        <v>12</v>
      </c>
      <c r="H2" t="s">
        <v>13</v>
      </c>
      <c r="I2" t="s">
        <v>14</v>
      </c>
      <c r="L2" t="s">
        <v>6</v>
      </c>
      <c r="M2" t="s">
        <v>7</v>
      </c>
      <c r="N2" t="s">
        <v>8</v>
      </c>
      <c r="O2" t="s">
        <v>9</v>
      </c>
      <c r="P2" t="s">
        <v>10</v>
      </c>
      <c r="Q2" t="s">
        <v>11</v>
      </c>
      <c r="R2" t="s">
        <v>12</v>
      </c>
      <c r="S2" t="s">
        <v>13</v>
      </c>
      <c r="T2" t="s">
        <v>14</v>
      </c>
    </row>
    <row r="3" spans="1:23" x14ac:dyDescent="0.2">
      <c r="A3" t="s">
        <v>875</v>
      </c>
      <c r="D3">
        <v>0</v>
      </c>
      <c r="E3">
        <v>11.4484005</v>
      </c>
    </row>
    <row r="4" spans="1:23" x14ac:dyDescent="0.2">
      <c r="A4" t="s">
        <v>876</v>
      </c>
      <c r="D4">
        <v>0</v>
      </c>
      <c r="E4">
        <v>8.4580990000000007</v>
      </c>
    </row>
    <row r="5" spans="1:23" x14ac:dyDescent="0.2">
      <c r="A5" t="s">
        <v>877</v>
      </c>
      <c r="D5">
        <v>0</v>
      </c>
      <c r="E5">
        <v>6.8678999999999997</v>
      </c>
    </row>
    <row r="6" spans="1:23" x14ac:dyDescent="0.2">
      <c r="A6" t="s">
        <v>878</v>
      </c>
      <c r="D6">
        <v>0</v>
      </c>
      <c r="E6">
        <v>6.7587004000000004</v>
      </c>
      <c r="V6" t="s">
        <v>20</v>
      </c>
      <c r="W6" t="s">
        <v>853</v>
      </c>
    </row>
    <row r="7" spans="1:23" x14ac:dyDescent="0.2">
      <c r="A7" t="s">
        <v>879</v>
      </c>
      <c r="D7">
        <v>0</v>
      </c>
      <c r="E7">
        <v>6.6494999999999997</v>
      </c>
      <c r="V7" t="s">
        <v>23</v>
      </c>
    </row>
    <row r="8" spans="1:23" x14ac:dyDescent="0.2">
      <c r="A8" t="s">
        <v>880</v>
      </c>
      <c r="D8">
        <v>0</v>
      </c>
      <c r="E8">
        <v>6.6503997000000004</v>
      </c>
      <c r="V8" t="s">
        <v>26</v>
      </c>
      <c r="W8" t="s">
        <v>856</v>
      </c>
    </row>
    <row r="9" spans="1:23" x14ac:dyDescent="0.2">
      <c r="A9" t="s">
        <v>881</v>
      </c>
      <c r="D9">
        <v>0</v>
      </c>
      <c r="E9">
        <v>6.5493503000000004</v>
      </c>
      <c r="V9" t="s">
        <v>28</v>
      </c>
      <c r="W9" t="e">
        <f>W8/60</f>
        <v>#VALUE!</v>
      </c>
    </row>
    <row r="10" spans="1:23" x14ac:dyDescent="0.2">
      <c r="A10" t="s">
        <v>882</v>
      </c>
      <c r="D10">
        <v>0</v>
      </c>
      <c r="E10">
        <v>6.4482999999999997</v>
      </c>
    </row>
    <row r="11" spans="1:23" x14ac:dyDescent="0.2">
      <c r="A11" t="s">
        <v>883</v>
      </c>
      <c r="D11">
        <v>2.6850058E-2</v>
      </c>
      <c r="E11">
        <v>6.4623999999999997</v>
      </c>
    </row>
    <row r="12" spans="1:23" x14ac:dyDescent="0.2">
      <c r="A12" t="s">
        <v>884</v>
      </c>
      <c r="D12">
        <v>1.4175747999999999</v>
      </c>
      <c r="E12">
        <v>6.5656999999999996</v>
      </c>
    </row>
    <row r="13" spans="1:23" x14ac:dyDescent="0.2">
      <c r="A13" t="s">
        <v>885</v>
      </c>
      <c r="D13">
        <v>3.8187503999999999</v>
      </c>
      <c r="E13">
        <v>6.4703249999999999</v>
      </c>
    </row>
    <row r="14" spans="1:23" x14ac:dyDescent="0.2">
      <c r="A14" t="s">
        <v>886</v>
      </c>
      <c r="D14">
        <v>9.4486000000000008</v>
      </c>
      <c r="E14">
        <v>6.4005999999999998</v>
      </c>
    </row>
    <row r="15" spans="1:23" x14ac:dyDescent="0.2">
      <c r="A15" t="s">
        <v>887</v>
      </c>
      <c r="D15">
        <v>8.7513000000000005</v>
      </c>
      <c r="E15">
        <v>6.4097499999999998</v>
      </c>
    </row>
    <row r="16" spans="1:23" x14ac:dyDescent="0.2">
      <c r="A16" t="s">
        <v>888</v>
      </c>
      <c r="D16">
        <v>4.8234750000000002</v>
      </c>
      <c r="E16">
        <v>6.3663169999999996</v>
      </c>
    </row>
    <row r="17" spans="1:5" x14ac:dyDescent="0.2">
      <c r="A17" t="s">
        <v>889</v>
      </c>
      <c r="D17">
        <v>8.8610500000000005</v>
      </c>
      <c r="E17">
        <v>6.4147996999999997</v>
      </c>
    </row>
    <row r="18" spans="1:5" x14ac:dyDescent="0.2">
      <c r="A18" t="s">
        <v>890</v>
      </c>
      <c r="D18">
        <v>8.7130500000000008</v>
      </c>
      <c r="E18">
        <v>6.5804</v>
      </c>
    </row>
    <row r="19" spans="1:5" x14ac:dyDescent="0.2">
      <c r="A19" t="s">
        <v>891</v>
      </c>
      <c r="D19">
        <v>5.3978752999999999</v>
      </c>
      <c r="E19">
        <v>6.7460000000000004</v>
      </c>
    </row>
    <row r="20" spans="1:5" x14ac:dyDescent="0.2">
      <c r="A20" t="s">
        <v>892</v>
      </c>
      <c r="D20">
        <v>0.24980025</v>
      </c>
      <c r="E20">
        <v>12.1121</v>
      </c>
    </row>
    <row r="21" spans="1:5" x14ac:dyDescent="0.2">
      <c r="A21" t="s">
        <v>893</v>
      </c>
      <c r="D21">
        <v>0</v>
      </c>
      <c r="E21">
        <v>11.9803</v>
      </c>
    </row>
    <row r="22" spans="1:5" x14ac:dyDescent="0.2">
      <c r="A22" t="s">
        <v>894</v>
      </c>
      <c r="D22">
        <v>0</v>
      </c>
      <c r="E22">
        <v>11.600650999999999</v>
      </c>
    </row>
    <row r="23" spans="1:5" x14ac:dyDescent="0.2">
      <c r="A23" t="s">
        <v>895</v>
      </c>
      <c r="D23">
        <v>0</v>
      </c>
      <c r="E23">
        <v>11.8279</v>
      </c>
    </row>
    <row r="24" spans="1:5" x14ac:dyDescent="0.2">
      <c r="A24" t="s">
        <v>896</v>
      </c>
      <c r="D24">
        <v>0</v>
      </c>
      <c r="E24">
        <v>10.019349999999999</v>
      </c>
    </row>
    <row r="25" spans="1:5" x14ac:dyDescent="0.2">
      <c r="A25" t="s">
        <v>897</v>
      </c>
      <c r="D25">
        <v>0</v>
      </c>
      <c r="E25">
        <v>9.1994000000000007</v>
      </c>
    </row>
    <row r="26" spans="1:5" x14ac:dyDescent="0.2">
      <c r="A26" t="s">
        <v>898</v>
      </c>
      <c r="D26">
        <v>0</v>
      </c>
      <c r="E26">
        <v>8.3141999999999996</v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A1:W26"/>
  <sheetViews>
    <sheetView workbookViewId="0"/>
  </sheetViews>
  <sheetFormatPr baseColWidth="10" defaultColWidth="8.83203125" defaultRowHeight="15" x14ac:dyDescent="0.2"/>
  <sheetData>
    <row r="1" spans="1:23" x14ac:dyDescent="0.2">
      <c r="A1" t="s">
        <v>0</v>
      </c>
      <c r="D1" t="s">
        <v>1</v>
      </c>
      <c r="L1" t="s">
        <v>2</v>
      </c>
      <c r="R1" t="s">
        <v>3</v>
      </c>
      <c r="S1" s="1">
        <v>0</v>
      </c>
      <c r="T1">
        <f>S1*V1</f>
        <v>0</v>
      </c>
    </row>
    <row r="2" spans="1:23" x14ac:dyDescent="0.2">
      <c r="A2" t="s">
        <v>6</v>
      </c>
      <c r="B2" t="s">
        <v>7</v>
      </c>
      <c r="C2" t="s">
        <v>8</v>
      </c>
      <c r="D2" t="s">
        <v>9</v>
      </c>
      <c r="E2" t="s">
        <v>10</v>
      </c>
      <c r="F2" t="s">
        <v>11</v>
      </c>
      <c r="G2" t="s">
        <v>12</v>
      </c>
      <c r="H2" t="s">
        <v>13</v>
      </c>
      <c r="I2" t="s">
        <v>14</v>
      </c>
      <c r="L2" t="s">
        <v>6</v>
      </c>
      <c r="M2" t="s">
        <v>7</v>
      </c>
      <c r="N2" t="s">
        <v>8</v>
      </c>
      <c r="O2" t="s">
        <v>9</v>
      </c>
      <c r="P2" t="s">
        <v>10</v>
      </c>
      <c r="Q2" t="s">
        <v>11</v>
      </c>
      <c r="R2" t="s">
        <v>12</v>
      </c>
      <c r="S2" t="s">
        <v>13</v>
      </c>
      <c r="T2" t="s">
        <v>14</v>
      </c>
    </row>
    <row r="3" spans="1:23" x14ac:dyDescent="0.2">
      <c r="A3" t="s">
        <v>899</v>
      </c>
      <c r="D3">
        <v>0</v>
      </c>
      <c r="E3">
        <v>7.4290000000000003</v>
      </c>
    </row>
    <row r="4" spans="1:23" x14ac:dyDescent="0.2">
      <c r="A4" t="s">
        <v>900</v>
      </c>
      <c r="D4">
        <v>0</v>
      </c>
      <c r="E4">
        <v>7.1768502999999999</v>
      </c>
    </row>
    <row r="5" spans="1:23" x14ac:dyDescent="0.2">
      <c r="A5" t="s">
        <v>901</v>
      </c>
      <c r="D5">
        <v>0</v>
      </c>
      <c r="E5">
        <v>6.7235670000000001</v>
      </c>
    </row>
    <row r="6" spans="1:23" x14ac:dyDescent="0.2">
      <c r="A6" t="s">
        <v>902</v>
      </c>
      <c r="D6">
        <v>0</v>
      </c>
      <c r="E6">
        <v>6.5532002</v>
      </c>
      <c r="V6" t="s">
        <v>20</v>
      </c>
      <c r="W6" t="s">
        <v>853</v>
      </c>
    </row>
    <row r="7" spans="1:23" x14ac:dyDescent="0.2">
      <c r="A7" t="s">
        <v>903</v>
      </c>
      <c r="D7">
        <v>0</v>
      </c>
      <c r="E7">
        <v>6.6071</v>
      </c>
      <c r="V7" t="s">
        <v>23</v>
      </c>
    </row>
    <row r="8" spans="1:23" x14ac:dyDescent="0.2">
      <c r="A8" t="s">
        <v>904</v>
      </c>
      <c r="D8">
        <v>0</v>
      </c>
      <c r="E8">
        <v>6.6575499999999996</v>
      </c>
      <c r="V8" t="s">
        <v>26</v>
      </c>
      <c r="W8" t="s">
        <v>856</v>
      </c>
    </row>
    <row r="9" spans="1:23" x14ac:dyDescent="0.2">
      <c r="A9" t="s">
        <v>905</v>
      </c>
      <c r="D9">
        <v>0</v>
      </c>
      <c r="E9">
        <v>6.4050000000000002</v>
      </c>
      <c r="V9" t="s">
        <v>28</v>
      </c>
      <c r="W9" t="e">
        <f>W8/60</f>
        <v>#VALUE!</v>
      </c>
    </row>
    <row r="10" spans="1:23" x14ac:dyDescent="0.2">
      <c r="A10" t="s">
        <v>906</v>
      </c>
      <c r="D10">
        <v>0</v>
      </c>
      <c r="E10">
        <v>4.8525999999999998</v>
      </c>
    </row>
    <row r="11" spans="1:23" x14ac:dyDescent="0.2">
      <c r="A11" t="s">
        <v>907</v>
      </c>
      <c r="D11">
        <v>0.42037546999999997</v>
      </c>
      <c r="E11">
        <v>6.6780999999999997</v>
      </c>
    </row>
    <row r="12" spans="1:23" x14ac:dyDescent="0.2">
      <c r="A12" t="s">
        <v>908</v>
      </c>
      <c r="D12">
        <v>3.2910748000000001</v>
      </c>
      <c r="E12">
        <v>6.5045000000000002</v>
      </c>
    </row>
    <row r="13" spans="1:23" x14ac:dyDescent="0.2">
      <c r="A13" t="s">
        <v>909</v>
      </c>
      <c r="D13">
        <v>24.373125000000002</v>
      </c>
      <c r="E13">
        <v>6.5582665999999996</v>
      </c>
    </row>
    <row r="14" spans="1:23" x14ac:dyDescent="0.2">
      <c r="A14" t="s">
        <v>910</v>
      </c>
      <c r="D14">
        <v>35.659550000000003</v>
      </c>
      <c r="E14">
        <v>6.4645000000000001</v>
      </c>
    </row>
    <row r="15" spans="1:23" x14ac:dyDescent="0.2">
      <c r="A15" t="s">
        <v>911</v>
      </c>
      <c r="D15">
        <v>38.579647000000001</v>
      </c>
      <c r="E15">
        <v>6.5538499999999997</v>
      </c>
    </row>
    <row r="16" spans="1:23" x14ac:dyDescent="0.2">
      <c r="A16" t="s">
        <v>912</v>
      </c>
      <c r="D16">
        <v>31.141501999999999</v>
      </c>
      <c r="E16">
        <v>6.4887996000000001</v>
      </c>
    </row>
    <row r="17" spans="1:5" x14ac:dyDescent="0.2">
      <c r="A17" t="s">
        <v>913</v>
      </c>
      <c r="D17">
        <v>33.267074999999998</v>
      </c>
      <c r="E17">
        <v>6.457033</v>
      </c>
    </row>
    <row r="18" spans="1:5" x14ac:dyDescent="0.2">
      <c r="A18" t="s">
        <v>914</v>
      </c>
      <c r="D18">
        <v>24.690100000000001</v>
      </c>
      <c r="E18">
        <v>6.4252666999999999</v>
      </c>
    </row>
    <row r="19" spans="1:5" x14ac:dyDescent="0.2">
      <c r="A19" t="s">
        <v>915</v>
      </c>
      <c r="D19">
        <v>9.5969999999999995</v>
      </c>
      <c r="E19">
        <v>6.5900496999999998</v>
      </c>
    </row>
    <row r="20" spans="1:5" x14ac:dyDescent="0.2">
      <c r="A20" t="s">
        <v>916</v>
      </c>
      <c r="D20">
        <v>0.81659999999999999</v>
      </c>
      <c r="E20">
        <v>6.5027999999999997</v>
      </c>
    </row>
    <row r="21" spans="1:5" x14ac:dyDescent="0.2">
      <c r="A21" t="s">
        <v>917</v>
      </c>
      <c r="D21">
        <v>0</v>
      </c>
      <c r="E21">
        <v>8.3265999999999991</v>
      </c>
    </row>
    <row r="22" spans="1:5" x14ac:dyDescent="0.2">
      <c r="A22" t="s">
        <v>918</v>
      </c>
      <c r="D22">
        <v>0</v>
      </c>
      <c r="E22">
        <v>8.9156999999999993</v>
      </c>
    </row>
    <row r="23" spans="1:5" x14ac:dyDescent="0.2">
      <c r="A23" t="s">
        <v>919</v>
      </c>
      <c r="D23">
        <v>0</v>
      </c>
      <c r="E23">
        <v>8.3684010000000004</v>
      </c>
    </row>
    <row r="24" spans="1:5" x14ac:dyDescent="0.2">
      <c r="A24" t="s">
        <v>920</v>
      </c>
      <c r="D24">
        <v>0</v>
      </c>
      <c r="E24">
        <v>8.2355994999999993</v>
      </c>
    </row>
    <row r="25" spans="1:5" x14ac:dyDescent="0.2">
      <c r="A25" t="s">
        <v>921</v>
      </c>
      <c r="D25">
        <v>0</v>
      </c>
      <c r="E25">
        <v>7.6995497000000004</v>
      </c>
    </row>
    <row r="26" spans="1:5" x14ac:dyDescent="0.2">
      <c r="A26" t="s">
        <v>922</v>
      </c>
      <c r="D26">
        <v>0</v>
      </c>
      <c r="E26">
        <v>7.0727000000000002</v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A1:W26"/>
  <sheetViews>
    <sheetView workbookViewId="0"/>
  </sheetViews>
  <sheetFormatPr baseColWidth="10" defaultColWidth="8.83203125" defaultRowHeight="15" x14ac:dyDescent="0.2"/>
  <sheetData>
    <row r="1" spans="1:23" x14ac:dyDescent="0.2">
      <c r="A1" t="s">
        <v>0</v>
      </c>
      <c r="D1" t="s">
        <v>1</v>
      </c>
      <c r="L1" t="s">
        <v>2</v>
      </c>
      <c r="R1" t="s">
        <v>3</v>
      </c>
      <c r="S1" s="1">
        <v>0</v>
      </c>
      <c r="T1">
        <f>S1*V1</f>
        <v>0</v>
      </c>
    </row>
    <row r="2" spans="1:23" x14ac:dyDescent="0.2">
      <c r="A2" t="s">
        <v>6</v>
      </c>
      <c r="B2" t="s">
        <v>7</v>
      </c>
      <c r="C2" t="s">
        <v>8</v>
      </c>
      <c r="D2" t="s">
        <v>9</v>
      </c>
      <c r="E2" t="s">
        <v>10</v>
      </c>
      <c r="F2" t="s">
        <v>11</v>
      </c>
      <c r="G2" t="s">
        <v>12</v>
      </c>
      <c r="H2" t="s">
        <v>13</v>
      </c>
      <c r="I2" t="s">
        <v>14</v>
      </c>
      <c r="L2" t="s">
        <v>6</v>
      </c>
      <c r="M2" t="s">
        <v>7</v>
      </c>
      <c r="N2" t="s">
        <v>8</v>
      </c>
      <c r="O2" t="s">
        <v>9</v>
      </c>
      <c r="P2" t="s">
        <v>10</v>
      </c>
      <c r="Q2" t="s">
        <v>11</v>
      </c>
      <c r="R2" t="s">
        <v>12</v>
      </c>
      <c r="S2" t="s">
        <v>13</v>
      </c>
      <c r="T2" t="s">
        <v>14</v>
      </c>
    </row>
    <row r="3" spans="1:23" x14ac:dyDescent="0.2">
      <c r="A3" t="s">
        <v>923</v>
      </c>
      <c r="D3">
        <v>0</v>
      </c>
      <c r="E3">
        <v>6.4458500000000001</v>
      </c>
    </row>
    <row r="4" spans="1:23" x14ac:dyDescent="0.2">
      <c r="A4" t="s">
        <v>924</v>
      </c>
      <c r="D4">
        <v>0</v>
      </c>
      <c r="E4">
        <v>6.4870000000000001</v>
      </c>
    </row>
    <row r="5" spans="1:23" x14ac:dyDescent="0.2">
      <c r="A5" t="s">
        <v>925</v>
      </c>
      <c r="D5">
        <v>0</v>
      </c>
      <c r="E5">
        <v>6.8049999999999997</v>
      </c>
    </row>
    <row r="6" spans="1:23" x14ac:dyDescent="0.2">
      <c r="A6" t="s">
        <v>926</v>
      </c>
      <c r="D6">
        <v>0</v>
      </c>
      <c r="E6">
        <v>7.1230000000000002</v>
      </c>
      <c r="V6" t="s">
        <v>20</v>
      </c>
      <c r="W6" t="s">
        <v>853</v>
      </c>
    </row>
    <row r="7" spans="1:23" x14ac:dyDescent="0.2">
      <c r="A7" t="s">
        <v>927</v>
      </c>
      <c r="D7">
        <v>0</v>
      </c>
      <c r="E7">
        <v>6.4793500000000002</v>
      </c>
      <c r="V7" t="s">
        <v>23</v>
      </c>
    </row>
    <row r="8" spans="1:23" x14ac:dyDescent="0.2">
      <c r="A8" t="s">
        <v>928</v>
      </c>
      <c r="D8">
        <v>0</v>
      </c>
      <c r="E8">
        <v>6.6539999999999999</v>
      </c>
      <c r="V8" t="s">
        <v>26</v>
      </c>
      <c r="W8" t="s">
        <v>856</v>
      </c>
    </row>
    <row r="9" spans="1:23" x14ac:dyDescent="0.2">
      <c r="A9" t="s">
        <v>929</v>
      </c>
      <c r="D9">
        <v>0</v>
      </c>
      <c r="E9">
        <v>7.7998000000000003</v>
      </c>
      <c r="V9" t="s">
        <v>28</v>
      </c>
      <c r="W9" t="e">
        <f>W8/60</f>
        <v>#VALUE!</v>
      </c>
    </row>
    <row r="10" spans="1:23" x14ac:dyDescent="0.2">
      <c r="A10" t="s">
        <v>930</v>
      </c>
      <c r="D10">
        <v>0</v>
      </c>
      <c r="E10">
        <v>6.4353999999999996</v>
      </c>
    </row>
    <row r="11" spans="1:23" x14ac:dyDescent="0.2">
      <c r="A11" t="s">
        <v>931</v>
      </c>
      <c r="D11">
        <v>0.62480020000000003</v>
      </c>
      <c r="E11">
        <v>6.5516334000000001</v>
      </c>
    </row>
    <row r="12" spans="1:23" x14ac:dyDescent="0.2">
      <c r="A12" t="s">
        <v>932</v>
      </c>
      <c r="D12">
        <v>5.5737750000000004</v>
      </c>
      <c r="E12">
        <v>6.3998999999999997</v>
      </c>
    </row>
    <row r="13" spans="1:23" x14ac:dyDescent="0.2">
      <c r="A13" t="s">
        <v>933</v>
      </c>
      <c r="D13">
        <v>19.922374999999999</v>
      </c>
      <c r="E13">
        <v>6.2481666000000002</v>
      </c>
    </row>
    <row r="14" spans="1:23" x14ac:dyDescent="0.2">
      <c r="A14" t="s">
        <v>934</v>
      </c>
      <c r="D14">
        <v>28.851050999999998</v>
      </c>
      <c r="E14">
        <v>6.0964330000000002</v>
      </c>
    </row>
    <row r="15" spans="1:23" x14ac:dyDescent="0.2">
      <c r="A15" t="s">
        <v>935</v>
      </c>
      <c r="D15">
        <v>37.826103000000003</v>
      </c>
      <c r="E15">
        <v>5.9982499999999996</v>
      </c>
    </row>
    <row r="16" spans="1:23" x14ac:dyDescent="0.2">
      <c r="A16" t="s">
        <v>936</v>
      </c>
      <c r="D16">
        <v>31.465499999999999</v>
      </c>
      <c r="E16">
        <v>6.5545</v>
      </c>
    </row>
    <row r="17" spans="1:5" x14ac:dyDescent="0.2">
      <c r="A17" t="s">
        <v>937</v>
      </c>
      <c r="D17">
        <v>28.497174999999999</v>
      </c>
      <c r="E17">
        <v>6.4842500000000003</v>
      </c>
    </row>
    <row r="18" spans="1:5" x14ac:dyDescent="0.2">
      <c r="A18" t="s">
        <v>938</v>
      </c>
      <c r="D18">
        <v>20.765999999999998</v>
      </c>
      <c r="E18">
        <v>6.4139999999999997</v>
      </c>
    </row>
    <row r="19" spans="1:5" x14ac:dyDescent="0.2">
      <c r="A19" t="s">
        <v>939</v>
      </c>
      <c r="D19">
        <v>8.062799</v>
      </c>
      <c r="E19">
        <v>6.3767996</v>
      </c>
    </row>
    <row r="20" spans="1:5" x14ac:dyDescent="0.2">
      <c r="A20" t="s">
        <v>940</v>
      </c>
      <c r="D20">
        <v>0.71287540000000005</v>
      </c>
      <c r="E20">
        <v>6.3957996000000001</v>
      </c>
    </row>
    <row r="21" spans="1:5" x14ac:dyDescent="0.2">
      <c r="A21" t="s">
        <v>941</v>
      </c>
      <c r="D21">
        <v>0</v>
      </c>
      <c r="E21">
        <v>6.5063000000000004</v>
      </c>
    </row>
    <row r="22" spans="1:5" x14ac:dyDescent="0.2">
      <c r="A22" t="s">
        <v>942</v>
      </c>
      <c r="D22">
        <v>0</v>
      </c>
      <c r="E22">
        <v>7.5382004</v>
      </c>
    </row>
    <row r="23" spans="1:5" x14ac:dyDescent="0.2">
      <c r="A23" t="s">
        <v>943</v>
      </c>
      <c r="D23">
        <v>0</v>
      </c>
      <c r="E23">
        <v>7.7439</v>
      </c>
    </row>
    <row r="24" spans="1:5" x14ac:dyDescent="0.2">
      <c r="A24" t="s">
        <v>944</v>
      </c>
      <c r="D24">
        <v>0</v>
      </c>
      <c r="E24">
        <v>7.5595999999999997</v>
      </c>
    </row>
    <row r="25" spans="1:5" x14ac:dyDescent="0.2">
      <c r="A25" t="s">
        <v>945</v>
      </c>
      <c r="D25">
        <v>0</v>
      </c>
      <c r="E25">
        <v>7.3753000000000002</v>
      </c>
    </row>
    <row r="26" spans="1:5" x14ac:dyDescent="0.2">
      <c r="A26" t="s">
        <v>946</v>
      </c>
      <c r="D26">
        <v>0</v>
      </c>
      <c r="E26">
        <v>7.5789</v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1:W26"/>
  <sheetViews>
    <sheetView workbookViewId="0"/>
  </sheetViews>
  <sheetFormatPr baseColWidth="10" defaultColWidth="8.83203125" defaultRowHeight="15" x14ac:dyDescent="0.2"/>
  <sheetData>
    <row r="1" spans="1:23" x14ac:dyDescent="0.2">
      <c r="A1" t="s">
        <v>0</v>
      </c>
      <c r="D1" t="s">
        <v>1</v>
      </c>
      <c r="L1" t="s">
        <v>2</v>
      </c>
      <c r="R1" t="s">
        <v>3</v>
      </c>
      <c r="S1" s="1">
        <v>0</v>
      </c>
      <c r="T1">
        <f>S1*V1</f>
        <v>0</v>
      </c>
    </row>
    <row r="2" spans="1:23" x14ac:dyDescent="0.2">
      <c r="A2" t="s">
        <v>6</v>
      </c>
      <c r="B2" t="s">
        <v>7</v>
      </c>
      <c r="C2" t="s">
        <v>8</v>
      </c>
      <c r="D2" t="s">
        <v>9</v>
      </c>
      <c r="E2" t="s">
        <v>10</v>
      </c>
      <c r="F2" t="s">
        <v>11</v>
      </c>
      <c r="G2" t="s">
        <v>12</v>
      </c>
      <c r="H2" t="s">
        <v>13</v>
      </c>
      <c r="I2" t="s">
        <v>14</v>
      </c>
      <c r="L2" t="s">
        <v>6</v>
      </c>
      <c r="M2" t="s">
        <v>7</v>
      </c>
      <c r="N2" t="s">
        <v>8</v>
      </c>
      <c r="O2" t="s">
        <v>9</v>
      </c>
      <c r="P2" t="s">
        <v>10</v>
      </c>
      <c r="Q2" t="s">
        <v>11</v>
      </c>
      <c r="R2" t="s">
        <v>12</v>
      </c>
      <c r="S2" t="s">
        <v>13</v>
      </c>
      <c r="T2" t="s">
        <v>14</v>
      </c>
    </row>
    <row r="3" spans="1:23" x14ac:dyDescent="0.2">
      <c r="A3" t="s">
        <v>947</v>
      </c>
      <c r="D3">
        <v>0</v>
      </c>
      <c r="E3">
        <v>6.8575496999999999</v>
      </c>
    </row>
    <row r="4" spans="1:23" x14ac:dyDescent="0.2">
      <c r="A4" t="s">
        <v>948</v>
      </c>
      <c r="D4">
        <v>0</v>
      </c>
      <c r="E4">
        <v>6.3285499999999999</v>
      </c>
    </row>
    <row r="5" spans="1:23" x14ac:dyDescent="0.2">
      <c r="A5" t="s">
        <v>949</v>
      </c>
      <c r="D5">
        <v>0</v>
      </c>
      <c r="E5">
        <v>6.2363</v>
      </c>
    </row>
    <row r="6" spans="1:23" x14ac:dyDescent="0.2">
      <c r="A6" t="s">
        <v>950</v>
      </c>
      <c r="D6">
        <v>0</v>
      </c>
      <c r="E6">
        <v>6.3716496999999999</v>
      </c>
      <c r="V6" t="s">
        <v>20</v>
      </c>
      <c r="W6" t="s">
        <v>853</v>
      </c>
    </row>
    <row r="7" spans="1:23" x14ac:dyDescent="0.2">
      <c r="A7" t="s">
        <v>951</v>
      </c>
      <c r="D7">
        <v>0</v>
      </c>
      <c r="E7">
        <v>6.3227000000000002</v>
      </c>
      <c r="V7" t="s">
        <v>23</v>
      </c>
    </row>
    <row r="8" spans="1:23" x14ac:dyDescent="0.2">
      <c r="A8" t="s">
        <v>952</v>
      </c>
      <c r="D8">
        <v>0</v>
      </c>
      <c r="E8">
        <v>6.2737499999999997</v>
      </c>
      <c r="V8" t="s">
        <v>26</v>
      </c>
      <c r="W8" t="s">
        <v>856</v>
      </c>
    </row>
    <row r="9" spans="1:23" x14ac:dyDescent="0.2">
      <c r="A9" t="s">
        <v>953</v>
      </c>
      <c r="D9">
        <v>0</v>
      </c>
      <c r="E9">
        <v>6.3156499999999998</v>
      </c>
      <c r="V9" t="s">
        <v>28</v>
      </c>
      <c r="W9" t="e">
        <f>W8/60</f>
        <v>#VALUE!</v>
      </c>
    </row>
    <row r="10" spans="1:23" x14ac:dyDescent="0.2">
      <c r="A10" t="s">
        <v>954</v>
      </c>
      <c r="D10">
        <v>0</v>
      </c>
      <c r="E10">
        <v>6.3313503000000004</v>
      </c>
    </row>
    <row r="11" spans="1:23" x14ac:dyDescent="0.2">
      <c r="A11" t="s">
        <v>955</v>
      </c>
      <c r="D11">
        <v>4.3874469999999999E-2</v>
      </c>
      <c r="E11">
        <v>6.3932995999999997</v>
      </c>
    </row>
    <row r="12" spans="1:23" x14ac:dyDescent="0.2">
      <c r="A12" t="s">
        <v>956</v>
      </c>
      <c r="D12">
        <v>0.22352485</v>
      </c>
      <c r="E12">
        <v>6.2861000000000002</v>
      </c>
    </row>
    <row r="13" spans="1:23" x14ac:dyDescent="0.2">
      <c r="A13" t="s">
        <v>957</v>
      </c>
      <c r="D13">
        <v>2.4053247</v>
      </c>
      <c r="E13">
        <v>6.2992670000000004</v>
      </c>
    </row>
    <row r="14" spans="1:23" x14ac:dyDescent="0.2">
      <c r="A14" t="s">
        <v>958</v>
      </c>
      <c r="D14">
        <v>6.6726007000000003</v>
      </c>
      <c r="E14">
        <v>6.3124332000000001</v>
      </c>
    </row>
    <row r="15" spans="1:23" x14ac:dyDescent="0.2">
      <c r="A15" t="s">
        <v>959</v>
      </c>
      <c r="D15">
        <v>7.8500500000000004</v>
      </c>
      <c r="E15">
        <v>6.3922996999999997</v>
      </c>
    </row>
    <row r="16" spans="1:23" x14ac:dyDescent="0.2">
      <c r="A16" t="s">
        <v>960</v>
      </c>
      <c r="D16">
        <v>3.7531998</v>
      </c>
      <c r="E16">
        <v>6.4721665000000002</v>
      </c>
    </row>
    <row r="17" spans="1:5" x14ac:dyDescent="0.2">
      <c r="A17" t="s">
        <v>961</v>
      </c>
      <c r="D17">
        <v>3.6249254</v>
      </c>
      <c r="E17">
        <v>6.3078000000000003</v>
      </c>
    </row>
    <row r="18" spans="1:5" x14ac:dyDescent="0.2">
      <c r="A18" t="s">
        <v>962</v>
      </c>
      <c r="D18">
        <v>1.1123247000000001</v>
      </c>
      <c r="E18">
        <v>6.5138999999999996</v>
      </c>
    </row>
    <row r="19" spans="1:5" x14ac:dyDescent="0.2">
      <c r="A19" t="s">
        <v>963</v>
      </c>
      <c r="D19">
        <v>0.32485005</v>
      </c>
      <c r="E19">
        <v>6.4825330000000001</v>
      </c>
    </row>
    <row r="20" spans="1:5" x14ac:dyDescent="0.2">
      <c r="A20" t="s">
        <v>964</v>
      </c>
      <c r="D20">
        <v>0</v>
      </c>
      <c r="E20">
        <v>6.4985999999999997</v>
      </c>
    </row>
    <row r="21" spans="1:5" x14ac:dyDescent="0.2">
      <c r="A21" t="s">
        <v>965</v>
      </c>
      <c r="D21">
        <v>0</v>
      </c>
      <c r="E21">
        <v>6.5146670000000002</v>
      </c>
    </row>
    <row r="22" spans="1:5" x14ac:dyDescent="0.2">
      <c r="A22" t="s">
        <v>966</v>
      </c>
      <c r="D22">
        <v>0</v>
      </c>
      <c r="E22">
        <v>6.3959330000000003</v>
      </c>
    </row>
    <row r="23" spans="1:5" x14ac:dyDescent="0.2">
      <c r="A23" t="s">
        <v>967</v>
      </c>
      <c r="D23">
        <v>0</v>
      </c>
      <c r="E23">
        <v>6.2771999999999997</v>
      </c>
    </row>
    <row r="24" spans="1:5" x14ac:dyDescent="0.2">
      <c r="A24" t="s">
        <v>968</v>
      </c>
      <c r="D24">
        <v>0</v>
      </c>
      <c r="E24">
        <v>6.3092002999999997</v>
      </c>
    </row>
    <row r="25" spans="1:5" x14ac:dyDescent="0.2">
      <c r="A25" t="s">
        <v>969</v>
      </c>
      <c r="D25">
        <v>0</v>
      </c>
      <c r="E25">
        <v>6.3105000000000002</v>
      </c>
    </row>
    <row r="26" spans="1:5" x14ac:dyDescent="0.2">
      <c r="A26" t="s">
        <v>970</v>
      </c>
      <c r="D26">
        <v>0</v>
      </c>
      <c r="E26">
        <v>6.2584</v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dimension ref="A1:W26"/>
  <sheetViews>
    <sheetView workbookViewId="0"/>
  </sheetViews>
  <sheetFormatPr baseColWidth="10" defaultColWidth="8.83203125" defaultRowHeight="15" x14ac:dyDescent="0.2"/>
  <sheetData>
    <row r="1" spans="1:23" x14ac:dyDescent="0.2">
      <c r="A1" t="s">
        <v>0</v>
      </c>
      <c r="D1" t="s">
        <v>1</v>
      </c>
      <c r="L1" t="s">
        <v>2</v>
      </c>
      <c r="R1" t="s">
        <v>3</v>
      </c>
      <c r="S1" s="1">
        <v>0</v>
      </c>
      <c r="T1">
        <f>S1*V1</f>
        <v>0</v>
      </c>
    </row>
    <row r="2" spans="1:23" x14ac:dyDescent="0.2">
      <c r="A2" t="s">
        <v>6</v>
      </c>
      <c r="B2" t="s">
        <v>7</v>
      </c>
      <c r="C2" t="s">
        <v>8</v>
      </c>
      <c r="D2" t="s">
        <v>9</v>
      </c>
      <c r="E2" t="s">
        <v>10</v>
      </c>
      <c r="F2" t="s">
        <v>11</v>
      </c>
      <c r="G2" t="s">
        <v>12</v>
      </c>
      <c r="H2" t="s">
        <v>13</v>
      </c>
      <c r="I2" t="s">
        <v>14</v>
      </c>
      <c r="L2" t="s">
        <v>6</v>
      </c>
      <c r="M2" t="s">
        <v>7</v>
      </c>
      <c r="N2" t="s">
        <v>8</v>
      </c>
      <c r="O2" t="s">
        <v>9</v>
      </c>
      <c r="P2" t="s">
        <v>10</v>
      </c>
      <c r="Q2" t="s">
        <v>11</v>
      </c>
      <c r="R2" t="s">
        <v>12</v>
      </c>
      <c r="S2" t="s">
        <v>13</v>
      </c>
      <c r="T2" t="s">
        <v>14</v>
      </c>
    </row>
    <row r="3" spans="1:23" x14ac:dyDescent="0.2">
      <c r="A3" t="s">
        <v>971</v>
      </c>
      <c r="D3">
        <v>0</v>
      </c>
      <c r="E3">
        <v>6.2062999999999997</v>
      </c>
    </row>
    <row r="4" spans="1:23" x14ac:dyDescent="0.2">
      <c r="A4" t="s">
        <v>972</v>
      </c>
      <c r="D4">
        <v>0</v>
      </c>
      <c r="E4">
        <v>6.3382997999999997</v>
      </c>
    </row>
    <row r="5" spans="1:23" x14ac:dyDescent="0.2">
      <c r="A5" t="s">
        <v>973</v>
      </c>
      <c r="D5">
        <v>0</v>
      </c>
      <c r="E5">
        <v>6.4702997</v>
      </c>
    </row>
    <row r="6" spans="1:23" x14ac:dyDescent="0.2">
      <c r="A6" t="s">
        <v>974</v>
      </c>
      <c r="D6">
        <v>0</v>
      </c>
      <c r="E6">
        <v>6.6022996999999997</v>
      </c>
      <c r="V6" t="s">
        <v>20</v>
      </c>
      <c r="W6" t="s">
        <v>853</v>
      </c>
    </row>
    <row r="7" spans="1:23" x14ac:dyDescent="0.2">
      <c r="A7" t="s">
        <v>975</v>
      </c>
      <c r="D7">
        <v>0</v>
      </c>
      <c r="E7">
        <v>6.2514599999999998</v>
      </c>
      <c r="V7" t="s">
        <v>23</v>
      </c>
    </row>
    <row r="8" spans="1:23" x14ac:dyDescent="0.2">
      <c r="A8" t="s">
        <v>976</v>
      </c>
      <c r="D8">
        <v>0</v>
      </c>
      <c r="E8">
        <v>5.90062</v>
      </c>
      <c r="V8" t="s">
        <v>26</v>
      </c>
      <c r="W8" t="s">
        <v>856</v>
      </c>
    </row>
    <row r="9" spans="1:23" x14ac:dyDescent="0.2">
      <c r="A9" t="s">
        <v>977</v>
      </c>
      <c r="D9">
        <v>0</v>
      </c>
      <c r="E9">
        <v>6.1796002000000003</v>
      </c>
      <c r="V9" t="s">
        <v>28</v>
      </c>
      <c r="W9" t="e">
        <f>W8/60</f>
        <v>#VALUE!</v>
      </c>
    </row>
    <row r="10" spans="1:23" x14ac:dyDescent="0.2">
      <c r="A10" t="s">
        <v>978</v>
      </c>
      <c r="D10">
        <v>0</v>
      </c>
      <c r="E10">
        <v>6.5050330000000001</v>
      </c>
    </row>
    <row r="11" spans="1:23" x14ac:dyDescent="0.2">
      <c r="A11" t="s">
        <v>979</v>
      </c>
      <c r="D11">
        <v>0</v>
      </c>
      <c r="E11">
        <v>6.2434329999999996</v>
      </c>
    </row>
    <row r="12" spans="1:23" x14ac:dyDescent="0.2">
      <c r="A12" t="s">
        <v>980</v>
      </c>
      <c r="D12">
        <v>6.8523890000000004E-2</v>
      </c>
      <c r="E12">
        <v>5.9818334999999996</v>
      </c>
    </row>
    <row r="13" spans="1:23" x14ac:dyDescent="0.2">
      <c r="A13" t="s">
        <v>981</v>
      </c>
      <c r="D13">
        <v>0.41337447999999999</v>
      </c>
      <c r="E13">
        <v>6.4779999999999998</v>
      </c>
    </row>
    <row r="14" spans="1:23" x14ac:dyDescent="0.2">
      <c r="A14" t="s">
        <v>982</v>
      </c>
      <c r="D14">
        <v>1.5159488000000001</v>
      </c>
      <c r="E14">
        <v>6.2318499999999997</v>
      </c>
    </row>
    <row r="15" spans="1:23" x14ac:dyDescent="0.2">
      <c r="A15" t="s">
        <v>983</v>
      </c>
      <c r="D15">
        <v>3.3986499999999999</v>
      </c>
      <c r="E15">
        <v>6.2829503999999998</v>
      </c>
    </row>
    <row r="16" spans="1:23" x14ac:dyDescent="0.2">
      <c r="A16" t="s">
        <v>984</v>
      </c>
      <c r="D16">
        <v>7.1107754999999999</v>
      </c>
      <c r="E16">
        <v>6.3340496999999996</v>
      </c>
    </row>
    <row r="17" spans="1:5" x14ac:dyDescent="0.2">
      <c r="A17" t="s">
        <v>985</v>
      </c>
      <c r="D17">
        <v>6.1095756999999997</v>
      </c>
      <c r="E17">
        <v>6.3513999999999999</v>
      </c>
    </row>
    <row r="18" spans="1:5" x14ac:dyDescent="0.2">
      <c r="A18" t="s">
        <v>986</v>
      </c>
      <c r="D18">
        <v>18.405024999999998</v>
      </c>
      <c r="E18">
        <v>6.3019999999999996</v>
      </c>
    </row>
    <row r="19" spans="1:5" x14ac:dyDescent="0.2">
      <c r="A19" t="s">
        <v>987</v>
      </c>
      <c r="D19">
        <v>2.3211997000000002</v>
      </c>
      <c r="E19">
        <v>6.2858000000000001</v>
      </c>
    </row>
    <row r="20" spans="1:5" x14ac:dyDescent="0.2">
      <c r="A20" t="s">
        <v>988</v>
      </c>
      <c r="D20">
        <v>0.14799946999999999</v>
      </c>
      <c r="E20">
        <v>6.3048000000000002</v>
      </c>
    </row>
    <row r="21" spans="1:5" x14ac:dyDescent="0.2">
      <c r="A21" t="s">
        <v>989</v>
      </c>
      <c r="D21">
        <v>0</v>
      </c>
      <c r="E21">
        <v>9.1088330000000006</v>
      </c>
    </row>
    <row r="22" spans="1:5" x14ac:dyDescent="0.2">
      <c r="A22" t="s">
        <v>990</v>
      </c>
      <c r="D22">
        <v>0</v>
      </c>
      <c r="E22">
        <v>9.1088330000000006</v>
      </c>
    </row>
    <row r="23" spans="1:5" x14ac:dyDescent="0.2">
      <c r="A23" t="s">
        <v>991</v>
      </c>
      <c r="D23">
        <v>0</v>
      </c>
      <c r="E23">
        <v>9.4151509999999998</v>
      </c>
    </row>
    <row r="24" spans="1:5" x14ac:dyDescent="0.2">
      <c r="A24" t="s">
        <v>992</v>
      </c>
      <c r="D24">
        <v>0</v>
      </c>
      <c r="E24">
        <v>9.7214670000000005</v>
      </c>
    </row>
    <row r="25" spans="1:5" x14ac:dyDescent="0.2">
      <c r="A25" t="s">
        <v>993</v>
      </c>
      <c r="D25">
        <v>0</v>
      </c>
      <c r="E25">
        <v>9.9794339999999995</v>
      </c>
    </row>
    <row r="26" spans="1:5" x14ac:dyDescent="0.2">
      <c r="A26" t="s">
        <v>994</v>
      </c>
      <c r="D26">
        <v>0</v>
      </c>
      <c r="E26">
        <v>10.237399999999999</v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dimension ref="A1:W26"/>
  <sheetViews>
    <sheetView workbookViewId="0"/>
  </sheetViews>
  <sheetFormatPr baseColWidth="10" defaultColWidth="8.83203125" defaultRowHeight="15" x14ac:dyDescent="0.2"/>
  <sheetData>
    <row r="1" spans="1:23" x14ac:dyDescent="0.2">
      <c r="A1" t="s">
        <v>0</v>
      </c>
      <c r="D1" t="s">
        <v>1</v>
      </c>
      <c r="L1" t="s">
        <v>2</v>
      </c>
      <c r="R1" t="s">
        <v>3</v>
      </c>
      <c r="S1" s="1">
        <v>0</v>
      </c>
      <c r="T1">
        <f>S1*V1</f>
        <v>0</v>
      </c>
    </row>
    <row r="2" spans="1:23" x14ac:dyDescent="0.2">
      <c r="A2" t="s">
        <v>6</v>
      </c>
      <c r="B2" t="s">
        <v>7</v>
      </c>
      <c r="C2" t="s">
        <v>8</v>
      </c>
      <c r="D2" t="s">
        <v>9</v>
      </c>
      <c r="E2" t="s">
        <v>10</v>
      </c>
      <c r="F2" t="s">
        <v>11</v>
      </c>
      <c r="G2" t="s">
        <v>12</v>
      </c>
      <c r="H2" t="s">
        <v>13</v>
      </c>
      <c r="I2" t="s">
        <v>14</v>
      </c>
      <c r="L2" t="s">
        <v>6</v>
      </c>
      <c r="M2" t="s">
        <v>7</v>
      </c>
      <c r="N2" t="s">
        <v>8</v>
      </c>
      <c r="O2" t="s">
        <v>9</v>
      </c>
      <c r="P2" t="s">
        <v>10</v>
      </c>
      <c r="Q2" t="s">
        <v>11</v>
      </c>
      <c r="R2" t="s">
        <v>12</v>
      </c>
      <c r="S2" t="s">
        <v>13</v>
      </c>
      <c r="T2" t="s">
        <v>14</v>
      </c>
    </row>
    <row r="3" spans="1:23" x14ac:dyDescent="0.2">
      <c r="A3" t="s">
        <v>995</v>
      </c>
      <c r="D3">
        <v>0</v>
      </c>
      <c r="E3">
        <v>6.4589999999999996</v>
      </c>
    </row>
    <row r="4" spans="1:23" x14ac:dyDescent="0.2">
      <c r="A4" t="s">
        <v>996</v>
      </c>
      <c r="D4">
        <v>0</v>
      </c>
      <c r="E4">
        <v>6.3891496999999999</v>
      </c>
    </row>
    <row r="5" spans="1:23" x14ac:dyDescent="0.2">
      <c r="A5" t="s">
        <v>997</v>
      </c>
      <c r="D5">
        <v>0</v>
      </c>
      <c r="E5">
        <v>6.3375000000000004</v>
      </c>
    </row>
    <row r="6" spans="1:23" x14ac:dyDescent="0.2">
      <c r="A6" t="s">
        <v>998</v>
      </c>
      <c r="D6">
        <v>0</v>
      </c>
      <c r="E6">
        <v>6.4416003000000002</v>
      </c>
      <c r="V6" t="s">
        <v>20</v>
      </c>
      <c r="W6" t="s">
        <v>853</v>
      </c>
    </row>
    <row r="7" spans="1:23" x14ac:dyDescent="0.2">
      <c r="A7" t="s">
        <v>999</v>
      </c>
      <c r="D7">
        <v>0</v>
      </c>
      <c r="E7">
        <v>6.5457000000000001</v>
      </c>
      <c r="V7" t="s">
        <v>23</v>
      </c>
    </row>
    <row r="8" spans="1:23" x14ac:dyDescent="0.2">
      <c r="A8" t="s">
        <v>1000</v>
      </c>
      <c r="D8">
        <v>0</v>
      </c>
      <c r="E8">
        <v>6.4292664999999998</v>
      </c>
      <c r="V8" t="s">
        <v>26</v>
      </c>
      <c r="W8" t="s">
        <v>856</v>
      </c>
    </row>
    <row r="9" spans="1:23" x14ac:dyDescent="0.2">
      <c r="A9" t="s">
        <v>1001</v>
      </c>
      <c r="D9">
        <v>0</v>
      </c>
      <c r="E9">
        <v>6.5278996999999999</v>
      </c>
      <c r="V9" t="s">
        <v>28</v>
      </c>
      <c r="W9" t="e">
        <f>W8/60</f>
        <v>#VALUE!</v>
      </c>
    </row>
    <row r="10" spans="1:23" x14ac:dyDescent="0.2">
      <c r="A10" t="s">
        <v>1002</v>
      </c>
      <c r="D10">
        <v>0</v>
      </c>
      <c r="E10">
        <v>6.5221</v>
      </c>
    </row>
    <row r="11" spans="1:23" x14ac:dyDescent="0.2">
      <c r="A11" t="s">
        <v>1003</v>
      </c>
      <c r="D11">
        <v>0.65504925999999997</v>
      </c>
      <c r="E11">
        <v>6.4016999999999999</v>
      </c>
    </row>
    <row r="12" spans="1:23" x14ac:dyDescent="0.2">
      <c r="A12" t="s">
        <v>1004</v>
      </c>
      <c r="D12">
        <v>2.9177506000000002</v>
      </c>
      <c r="E12">
        <v>6.4861665000000004</v>
      </c>
    </row>
    <row r="13" spans="1:23" x14ac:dyDescent="0.2">
      <c r="A13" t="s">
        <v>1005</v>
      </c>
      <c r="D13">
        <v>20.297675999999999</v>
      </c>
      <c r="E13">
        <v>6.4347997000000001</v>
      </c>
    </row>
    <row r="14" spans="1:23" x14ac:dyDescent="0.2">
      <c r="A14" t="s">
        <v>1006</v>
      </c>
      <c r="D14">
        <v>34.700499999999998</v>
      </c>
      <c r="E14">
        <v>6.4517664999999997</v>
      </c>
    </row>
    <row r="15" spans="1:23" x14ac:dyDescent="0.2">
      <c r="A15" t="s">
        <v>1007</v>
      </c>
      <c r="D15">
        <v>38.593525</v>
      </c>
      <c r="E15">
        <v>6.7337999999999996</v>
      </c>
    </row>
    <row r="16" spans="1:23" x14ac:dyDescent="0.2">
      <c r="A16" t="s">
        <v>1008</v>
      </c>
      <c r="D16">
        <v>38.531700000000001</v>
      </c>
      <c r="E16">
        <v>6.6079999999999997</v>
      </c>
    </row>
    <row r="17" spans="1:5" x14ac:dyDescent="0.2">
      <c r="A17" t="s">
        <v>1009</v>
      </c>
      <c r="D17">
        <v>34.382697999999998</v>
      </c>
      <c r="E17">
        <v>7.1315999999999997</v>
      </c>
    </row>
    <row r="18" spans="1:5" x14ac:dyDescent="0.2">
      <c r="A18" t="s">
        <v>1010</v>
      </c>
      <c r="D18">
        <v>23.289099</v>
      </c>
      <c r="E18">
        <v>6.9718</v>
      </c>
    </row>
    <row r="19" spans="1:5" x14ac:dyDescent="0.2">
      <c r="A19" t="s">
        <v>1011</v>
      </c>
      <c r="D19">
        <v>7.0489253999999999</v>
      </c>
      <c r="E19">
        <v>9.550967</v>
      </c>
    </row>
    <row r="20" spans="1:5" x14ac:dyDescent="0.2">
      <c r="A20" t="s">
        <v>1012</v>
      </c>
      <c r="D20">
        <v>0.46324947</v>
      </c>
      <c r="E20">
        <v>12.130134</v>
      </c>
    </row>
    <row r="21" spans="1:5" x14ac:dyDescent="0.2">
      <c r="A21" t="s">
        <v>1013</v>
      </c>
      <c r="D21">
        <v>0</v>
      </c>
      <c r="E21">
        <v>10.967098999999999</v>
      </c>
    </row>
    <row r="22" spans="1:5" x14ac:dyDescent="0.2">
      <c r="A22" t="s">
        <v>1014</v>
      </c>
      <c r="D22">
        <v>0</v>
      </c>
      <c r="E22">
        <v>10.967098999999999</v>
      </c>
    </row>
    <row r="23" spans="1:5" x14ac:dyDescent="0.2">
      <c r="A23" t="s">
        <v>1015</v>
      </c>
      <c r="D23">
        <v>0</v>
      </c>
      <c r="E23">
        <v>12.846080000000001</v>
      </c>
    </row>
    <row r="24" spans="1:5" x14ac:dyDescent="0.2">
      <c r="A24" t="s">
        <v>1016</v>
      </c>
      <c r="D24">
        <v>0</v>
      </c>
      <c r="E24">
        <v>9.9596339999999994</v>
      </c>
    </row>
    <row r="25" spans="1:5" x14ac:dyDescent="0.2">
      <c r="A25" t="s">
        <v>1017</v>
      </c>
      <c r="D25">
        <v>0</v>
      </c>
      <c r="E25">
        <v>12.155099999999999</v>
      </c>
    </row>
    <row r="26" spans="1:5" x14ac:dyDescent="0.2">
      <c r="A26" t="s">
        <v>1018</v>
      </c>
      <c r="D26">
        <v>0</v>
      </c>
      <c r="E26">
        <v>14.350567</v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dimension ref="A1:W26"/>
  <sheetViews>
    <sheetView workbookViewId="0"/>
  </sheetViews>
  <sheetFormatPr baseColWidth="10" defaultColWidth="8.83203125" defaultRowHeight="15" x14ac:dyDescent="0.2"/>
  <sheetData>
    <row r="1" spans="1:23" x14ac:dyDescent="0.2">
      <c r="A1" t="s">
        <v>0</v>
      </c>
      <c r="D1" t="s">
        <v>1</v>
      </c>
      <c r="L1" t="s">
        <v>2</v>
      </c>
      <c r="R1" t="s">
        <v>3</v>
      </c>
      <c r="S1" s="1">
        <v>0</v>
      </c>
      <c r="T1">
        <f>S1*V1</f>
        <v>0</v>
      </c>
    </row>
    <row r="2" spans="1:23" x14ac:dyDescent="0.2">
      <c r="A2" t="s">
        <v>6</v>
      </c>
      <c r="B2" t="s">
        <v>7</v>
      </c>
      <c r="C2" t="s">
        <v>8</v>
      </c>
      <c r="D2" t="s">
        <v>9</v>
      </c>
      <c r="E2" t="s">
        <v>10</v>
      </c>
      <c r="F2" t="s">
        <v>11</v>
      </c>
      <c r="G2" t="s">
        <v>12</v>
      </c>
      <c r="H2" t="s">
        <v>13</v>
      </c>
      <c r="I2" t="s">
        <v>14</v>
      </c>
      <c r="L2" t="s">
        <v>6</v>
      </c>
      <c r="M2" t="s">
        <v>7</v>
      </c>
      <c r="N2" t="s">
        <v>8</v>
      </c>
      <c r="O2" t="s">
        <v>9</v>
      </c>
      <c r="P2" t="s">
        <v>10</v>
      </c>
      <c r="Q2" t="s">
        <v>11</v>
      </c>
      <c r="R2" t="s">
        <v>12</v>
      </c>
      <c r="S2" t="s">
        <v>13</v>
      </c>
      <c r="T2" t="s">
        <v>14</v>
      </c>
    </row>
    <row r="3" spans="1:23" x14ac:dyDescent="0.2">
      <c r="A3" t="s">
        <v>1019</v>
      </c>
      <c r="D3">
        <v>0</v>
      </c>
      <c r="E3">
        <v>16.546033999999999</v>
      </c>
    </row>
    <row r="4" spans="1:23" x14ac:dyDescent="0.2">
      <c r="A4" t="s">
        <v>1020</v>
      </c>
      <c r="D4">
        <v>0</v>
      </c>
      <c r="E4">
        <v>18.8947</v>
      </c>
    </row>
    <row r="5" spans="1:23" x14ac:dyDescent="0.2">
      <c r="A5" t="s">
        <v>1021</v>
      </c>
      <c r="D5">
        <v>0</v>
      </c>
      <c r="E5">
        <v>18.011301</v>
      </c>
    </row>
    <row r="6" spans="1:23" x14ac:dyDescent="0.2">
      <c r="A6" t="s">
        <v>1022</v>
      </c>
      <c r="D6">
        <v>0</v>
      </c>
      <c r="E6">
        <v>17.411999999999999</v>
      </c>
      <c r="V6" t="s">
        <v>20</v>
      </c>
      <c r="W6" t="s">
        <v>853</v>
      </c>
    </row>
    <row r="7" spans="1:23" x14ac:dyDescent="0.2">
      <c r="A7" t="s">
        <v>1023</v>
      </c>
      <c r="D7">
        <v>0</v>
      </c>
      <c r="E7">
        <v>19.032699999999998</v>
      </c>
      <c r="V7" t="s">
        <v>23</v>
      </c>
    </row>
    <row r="8" spans="1:23" x14ac:dyDescent="0.2">
      <c r="A8" t="s">
        <v>1024</v>
      </c>
      <c r="D8">
        <v>0</v>
      </c>
      <c r="E8">
        <v>8.7047000000000008</v>
      </c>
      <c r="V8" t="s">
        <v>26</v>
      </c>
      <c r="W8" t="s">
        <v>856</v>
      </c>
    </row>
    <row r="9" spans="1:23" x14ac:dyDescent="0.2">
      <c r="A9" t="s">
        <v>1025</v>
      </c>
      <c r="D9">
        <v>0</v>
      </c>
      <c r="E9">
        <v>8.7447999999999997</v>
      </c>
      <c r="V9" t="s">
        <v>28</v>
      </c>
      <c r="W9" t="e">
        <f>W8/60</f>
        <v>#VALUE!</v>
      </c>
    </row>
    <row r="10" spans="1:23" x14ac:dyDescent="0.2">
      <c r="A10" t="s">
        <v>1026</v>
      </c>
      <c r="D10">
        <v>0</v>
      </c>
      <c r="E10">
        <v>9.016</v>
      </c>
    </row>
    <row r="11" spans="1:23" x14ac:dyDescent="0.2">
      <c r="A11" t="s">
        <v>1027</v>
      </c>
      <c r="D11">
        <v>0.45432465999999999</v>
      </c>
      <c r="E11">
        <v>8.7109000000000005</v>
      </c>
    </row>
    <row r="12" spans="1:23" x14ac:dyDescent="0.2">
      <c r="A12" t="s">
        <v>1028</v>
      </c>
      <c r="D12">
        <v>4.5388755999999999</v>
      </c>
      <c r="E12">
        <v>8.4057999999999993</v>
      </c>
    </row>
    <row r="13" spans="1:23" x14ac:dyDescent="0.2">
      <c r="A13" t="s">
        <v>1029</v>
      </c>
      <c r="D13">
        <v>7.9379249999999999</v>
      </c>
      <c r="E13">
        <v>8.64635</v>
      </c>
    </row>
    <row r="14" spans="1:23" x14ac:dyDescent="0.2">
      <c r="A14" t="s">
        <v>1030</v>
      </c>
      <c r="D14">
        <v>8.2102489999999992</v>
      </c>
      <c r="E14">
        <v>8.8743499999999997</v>
      </c>
    </row>
    <row r="15" spans="1:23" x14ac:dyDescent="0.2">
      <c r="A15" t="s">
        <v>1031</v>
      </c>
      <c r="D15">
        <v>9.1727000000000007</v>
      </c>
      <c r="E15">
        <v>9.1023490000000002</v>
      </c>
    </row>
    <row r="16" spans="1:23" x14ac:dyDescent="0.2">
      <c r="A16" t="s">
        <v>1032</v>
      </c>
      <c r="D16">
        <v>10.54745</v>
      </c>
      <c r="E16">
        <v>11.468</v>
      </c>
    </row>
    <row r="17" spans="1:5" x14ac:dyDescent="0.2">
      <c r="A17" t="s">
        <v>1033</v>
      </c>
      <c r="D17">
        <v>9.84605</v>
      </c>
      <c r="E17">
        <v>13.833651</v>
      </c>
    </row>
    <row r="18" spans="1:5" x14ac:dyDescent="0.2">
      <c r="A18" t="s">
        <v>1034</v>
      </c>
      <c r="D18">
        <v>11.806125</v>
      </c>
      <c r="E18">
        <v>13.206099500000001</v>
      </c>
    </row>
    <row r="19" spans="1:5" x14ac:dyDescent="0.2">
      <c r="A19" t="s">
        <v>1035</v>
      </c>
      <c r="D19">
        <v>3.4710502999999999</v>
      </c>
      <c r="E19">
        <v>13.48625</v>
      </c>
    </row>
    <row r="20" spans="1:5" x14ac:dyDescent="0.2">
      <c r="A20" t="s">
        <v>1036</v>
      </c>
      <c r="D20">
        <v>0.31230124999999997</v>
      </c>
      <c r="E20">
        <v>13.766400000000001</v>
      </c>
    </row>
    <row r="21" spans="1:5" x14ac:dyDescent="0.2">
      <c r="A21" t="s">
        <v>1037</v>
      </c>
      <c r="D21">
        <v>0</v>
      </c>
      <c r="E21">
        <v>15.389151</v>
      </c>
    </row>
    <row r="22" spans="1:5" x14ac:dyDescent="0.2">
      <c r="A22" t="s">
        <v>1038</v>
      </c>
      <c r="D22">
        <v>0</v>
      </c>
      <c r="E22">
        <v>14.8865</v>
      </c>
    </row>
    <row r="23" spans="1:5" x14ac:dyDescent="0.2">
      <c r="A23" t="s">
        <v>1039</v>
      </c>
      <c r="D23">
        <v>0</v>
      </c>
      <c r="E23">
        <v>15.144174</v>
      </c>
    </row>
    <row r="24" spans="1:5" x14ac:dyDescent="0.2">
      <c r="A24" t="s">
        <v>1040</v>
      </c>
      <c r="D24">
        <v>0</v>
      </c>
      <c r="E24">
        <v>15.40185</v>
      </c>
    </row>
    <row r="25" spans="1:5" x14ac:dyDescent="0.2">
      <c r="A25" t="s">
        <v>1041</v>
      </c>
      <c r="D25">
        <v>0</v>
      </c>
      <c r="E25">
        <v>15.10915</v>
      </c>
    </row>
    <row r="26" spans="1:5" x14ac:dyDescent="0.2">
      <c r="A26" t="s">
        <v>1042</v>
      </c>
      <c r="D26">
        <v>0</v>
      </c>
      <c r="E26">
        <v>14.819900499999999</v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dimension ref="A1:W26"/>
  <sheetViews>
    <sheetView workbookViewId="0"/>
  </sheetViews>
  <sheetFormatPr baseColWidth="10" defaultColWidth="8.83203125" defaultRowHeight="15" x14ac:dyDescent="0.2"/>
  <sheetData>
    <row r="1" spans="1:23" x14ac:dyDescent="0.2">
      <c r="A1" t="s">
        <v>0</v>
      </c>
      <c r="D1" t="s">
        <v>1</v>
      </c>
      <c r="L1" t="s">
        <v>2</v>
      </c>
      <c r="R1" t="s">
        <v>3</v>
      </c>
      <c r="S1" s="1">
        <v>0</v>
      </c>
      <c r="T1">
        <f>S1*V1</f>
        <v>0</v>
      </c>
    </row>
    <row r="2" spans="1:23" x14ac:dyDescent="0.2">
      <c r="A2" t="s">
        <v>6</v>
      </c>
      <c r="B2" t="s">
        <v>7</v>
      </c>
      <c r="C2" t="s">
        <v>8</v>
      </c>
      <c r="D2" t="s">
        <v>9</v>
      </c>
      <c r="E2" t="s">
        <v>10</v>
      </c>
      <c r="F2" t="s">
        <v>11</v>
      </c>
      <c r="G2" t="s">
        <v>12</v>
      </c>
      <c r="H2" t="s">
        <v>13</v>
      </c>
      <c r="I2" t="s">
        <v>14</v>
      </c>
      <c r="L2" t="s">
        <v>6</v>
      </c>
      <c r="M2" t="s">
        <v>7</v>
      </c>
      <c r="N2" t="s">
        <v>8</v>
      </c>
      <c r="O2" t="s">
        <v>9</v>
      </c>
      <c r="P2" t="s">
        <v>10</v>
      </c>
      <c r="Q2" t="s">
        <v>11</v>
      </c>
      <c r="R2" t="s">
        <v>12</v>
      </c>
      <c r="S2" t="s">
        <v>13</v>
      </c>
      <c r="T2" t="s">
        <v>14</v>
      </c>
    </row>
    <row r="3" spans="1:23" x14ac:dyDescent="0.2">
      <c r="A3" t="s">
        <v>1043</v>
      </c>
      <c r="D3">
        <v>0</v>
      </c>
      <c r="E3">
        <v>14.6671</v>
      </c>
    </row>
    <row r="4" spans="1:23" x14ac:dyDescent="0.2">
      <c r="A4" t="s">
        <v>1044</v>
      </c>
      <c r="D4">
        <v>0</v>
      </c>
      <c r="E4">
        <v>14.546099999999999</v>
      </c>
    </row>
    <row r="5" spans="1:23" x14ac:dyDescent="0.2">
      <c r="A5" t="s">
        <v>1045</v>
      </c>
      <c r="D5">
        <v>0</v>
      </c>
      <c r="E5">
        <v>14.425098999999999</v>
      </c>
    </row>
    <row r="6" spans="1:23" x14ac:dyDescent="0.2">
      <c r="A6" t="s">
        <v>1046</v>
      </c>
      <c r="D6">
        <v>0</v>
      </c>
      <c r="E6">
        <v>14.5273</v>
      </c>
      <c r="V6" t="s">
        <v>20</v>
      </c>
      <c r="W6" t="s">
        <v>853</v>
      </c>
    </row>
    <row r="7" spans="1:23" x14ac:dyDescent="0.2">
      <c r="A7" t="s">
        <v>1047</v>
      </c>
      <c r="D7">
        <v>0</v>
      </c>
      <c r="E7">
        <v>14.6645</v>
      </c>
      <c r="V7" t="s">
        <v>23</v>
      </c>
    </row>
    <row r="8" spans="1:23" x14ac:dyDescent="0.2">
      <c r="A8" t="s">
        <v>1048</v>
      </c>
      <c r="D8">
        <v>0</v>
      </c>
      <c r="E8">
        <v>14.5474</v>
      </c>
      <c r="V8" t="s">
        <v>26</v>
      </c>
      <c r="W8" t="s">
        <v>856</v>
      </c>
    </row>
    <row r="9" spans="1:23" x14ac:dyDescent="0.2">
      <c r="A9" t="s">
        <v>1049</v>
      </c>
      <c r="D9">
        <v>0</v>
      </c>
      <c r="E9">
        <v>14.430300000000001</v>
      </c>
      <c r="V9" t="s">
        <v>28</v>
      </c>
      <c r="W9" t="e">
        <f>W8/60</f>
        <v>#VALUE!</v>
      </c>
    </row>
    <row r="10" spans="1:23" x14ac:dyDescent="0.2">
      <c r="A10" t="s">
        <v>1050</v>
      </c>
      <c r="D10">
        <v>0</v>
      </c>
      <c r="E10">
        <v>8.3397000000000006</v>
      </c>
    </row>
    <row r="11" spans="1:23" x14ac:dyDescent="0.2">
      <c r="A11" t="s">
        <v>1051</v>
      </c>
      <c r="D11">
        <v>2.8524863000000001E-2</v>
      </c>
      <c r="E11">
        <v>8.3284500000000001</v>
      </c>
    </row>
    <row r="12" spans="1:23" x14ac:dyDescent="0.2">
      <c r="A12" t="s">
        <v>1052</v>
      </c>
      <c r="D12">
        <v>0.27330124</v>
      </c>
      <c r="E12">
        <v>8.3172010000000007</v>
      </c>
    </row>
    <row r="13" spans="1:23" x14ac:dyDescent="0.2">
      <c r="A13" t="s">
        <v>1053</v>
      </c>
      <c r="D13">
        <v>6.5376420000000005E-2</v>
      </c>
      <c r="E13">
        <v>8.6995989999999992</v>
      </c>
    </row>
    <row r="14" spans="1:23" x14ac:dyDescent="0.2">
      <c r="A14" t="s">
        <v>1054</v>
      </c>
      <c r="D14">
        <v>0.29094966999999999</v>
      </c>
      <c r="E14">
        <v>15.713699999999999</v>
      </c>
    </row>
    <row r="15" spans="1:23" x14ac:dyDescent="0.2">
      <c r="A15" t="s">
        <v>1055</v>
      </c>
      <c r="D15">
        <v>0.21882563999999999</v>
      </c>
      <c r="E15">
        <v>15.475</v>
      </c>
    </row>
    <row r="16" spans="1:23" x14ac:dyDescent="0.2">
      <c r="A16" t="s">
        <v>1056</v>
      </c>
      <c r="D16">
        <v>6.705025</v>
      </c>
      <c r="E16">
        <v>15.6759</v>
      </c>
    </row>
    <row r="17" spans="1:5" x14ac:dyDescent="0.2">
      <c r="A17" t="s">
        <v>1057</v>
      </c>
      <c r="D17">
        <v>4.0181500000000003</v>
      </c>
      <c r="E17">
        <v>15.5115</v>
      </c>
    </row>
    <row r="18" spans="1:5" x14ac:dyDescent="0.2">
      <c r="A18" t="s">
        <v>1058</v>
      </c>
      <c r="D18">
        <v>1.7731254999999999</v>
      </c>
      <c r="E18">
        <v>15.347099</v>
      </c>
    </row>
    <row r="19" spans="1:5" x14ac:dyDescent="0.2">
      <c r="A19" t="s">
        <v>1059</v>
      </c>
      <c r="D19">
        <v>0.24774946</v>
      </c>
      <c r="E19">
        <v>15.137449999999999</v>
      </c>
    </row>
    <row r="20" spans="1:5" x14ac:dyDescent="0.2">
      <c r="A20" t="s">
        <v>1060</v>
      </c>
      <c r="D20">
        <v>0</v>
      </c>
      <c r="E20">
        <v>14.927799</v>
      </c>
    </row>
    <row r="21" spans="1:5" x14ac:dyDescent="0.2">
      <c r="A21" t="s">
        <v>1061</v>
      </c>
      <c r="D21">
        <v>0</v>
      </c>
      <c r="E21">
        <v>13.935700000000001</v>
      </c>
    </row>
    <row r="22" spans="1:5" x14ac:dyDescent="0.2">
      <c r="A22" t="s">
        <v>1062</v>
      </c>
      <c r="D22">
        <v>0</v>
      </c>
      <c r="E22">
        <v>13.501849</v>
      </c>
    </row>
    <row r="23" spans="1:5" x14ac:dyDescent="0.2">
      <c r="A23" t="s">
        <v>1063</v>
      </c>
      <c r="D23">
        <v>0</v>
      </c>
      <c r="E23">
        <v>14.601100000000001</v>
      </c>
    </row>
    <row r="24" spans="1:5" x14ac:dyDescent="0.2">
      <c r="A24" t="s">
        <v>1064</v>
      </c>
      <c r="D24">
        <v>0</v>
      </c>
      <c r="E24">
        <v>14.636799999999999</v>
      </c>
    </row>
    <row r="25" spans="1:5" x14ac:dyDescent="0.2">
      <c r="A25" t="s">
        <v>1065</v>
      </c>
      <c r="D25">
        <v>0</v>
      </c>
      <c r="E25">
        <v>13.488299</v>
      </c>
    </row>
    <row r="26" spans="1:5" x14ac:dyDescent="0.2">
      <c r="A26" t="s">
        <v>1066</v>
      </c>
      <c r="D26">
        <v>0</v>
      </c>
      <c r="E26">
        <v>13.326934</v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dimension ref="A1:W26"/>
  <sheetViews>
    <sheetView workbookViewId="0"/>
  </sheetViews>
  <sheetFormatPr baseColWidth="10" defaultColWidth="8.83203125" defaultRowHeight="15" x14ac:dyDescent="0.2"/>
  <sheetData>
    <row r="1" spans="1:23" x14ac:dyDescent="0.2">
      <c r="A1" t="s">
        <v>0</v>
      </c>
      <c r="D1" t="s">
        <v>1</v>
      </c>
      <c r="L1" t="s">
        <v>2</v>
      </c>
      <c r="R1" t="s">
        <v>3</v>
      </c>
      <c r="S1" s="1">
        <v>0</v>
      </c>
      <c r="T1">
        <f>S1*V1</f>
        <v>0</v>
      </c>
    </row>
    <row r="2" spans="1:23" x14ac:dyDescent="0.2">
      <c r="A2" t="s">
        <v>6</v>
      </c>
      <c r="B2" t="s">
        <v>7</v>
      </c>
      <c r="C2" t="s">
        <v>8</v>
      </c>
      <c r="D2" t="s">
        <v>9</v>
      </c>
      <c r="E2" t="s">
        <v>10</v>
      </c>
      <c r="F2" t="s">
        <v>11</v>
      </c>
      <c r="G2" t="s">
        <v>12</v>
      </c>
      <c r="H2" t="s">
        <v>13</v>
      </c>
      <c r="I2" t="s">
        <v>14</v>
      </c>
      <c r="L2" t="s">
        <v>6</v>
      </c>
      <c r="M2" t="s">
        <v>7</v>
      </c>
      <c r="N2" t="s">
        <v>8</v>
      </c>
      <c r="O2" t="s">
        <v>9</v>
      </c>
      <c r="P2" t="s">
        <v>10</v>
      </c>
      <c r="Q2" t="s">
        <v>11</v>
      </c>
      <c r="R2" t="s">
        <v>12</v>
      </c>
      <c r="S2" t="s">
        <v>13</v>
      </c>
      <c r="T2" t="s">
        <v>14</v>
      </c>
    </row>
    <row r="3" spans="1:23" x14ac:dyDescent="0.2">
      <c r="A3" t="s">
        <v>1067</v>
      </c>
      <c r="D3">
        <v>0</v>
      </c>
      <c r="E3">
        <v>11.4758</v>
      </c>
    </row>
    <row r="4" spans="1:23" x14ac:dyDescent="0.2">
      <c r="A4" t="s">
        <v>1068</v>
      </c>
      <c r="D4">
        <v>0</v>
      </c>
      <c r="E4">
        <v>11.5151</v>
      </c>
    </row>
    <row r="5" spans="1:23" x14ac:dyDescent="0.2">
      <c r="A5" t="s">
        <v>1069</v>
      </c>
      <c r="D5">
        <v>0</v>
      </c>
      <c r="E5">
        <v>9.3473000000000006</v>
      </c>
    </row>
    <row r="6" spans="1:23" x14ac:dyDescent="0.2">
      <c r="A6" t="s">
        <v>1070</v>
      </c>
      <c r="D6">
        <v>0</v>
      </c>
      <c r="E6">
        <v>8.9785000000000004</v>
      </c>
      <c r="V6" t="s">
        <v>20</v>
      </c>
      <c r="W6" t="s">
        <v>853</v>
      </c>
    </row>
    <row r="7" spans="1:23" x14ac:dyDescent="0.2">
      <c r="A7" t="s">
        <v>1071</v>
      </c>
      <c r="D7">
        <v>0</v>
      </c>
      <c r="E7">
        <v>8.4567995000000007</v>
      </c>
      <c r="V7" t="s">
        <v>23</v>
      </c>
    </row>
    <row r="8" spans="1:23" x14ac:dyDescent="0.2">
      <c r="A8" t="s">
        <v>1072</v>
      </c>
      <c r="D8">
        <v>0</v>
      </c>
      <c r="E8">
        <v>7.9351000000000003</v>
      </c>
      <c r="V8" t="s">
        <v>26</v>
      </c>
      <c r="W8" t="s">
        <v>856</v>
      </c>
    </row>
    <row r="9" spans="1:23" x14ac:dyDescent="0.2">
      <c r="A9" t="s">
        <v>1073</v>
      </c>
      <c r="D9">
        <v>0</v>
      </c>
      <c r="E9">
        <v>8.3119669999999992</v>
      </c>
      <c r="V9" t="s">
        <v>28</v>
      </c>
      <c r="W9" t="e">
        <f>W8/60</f>
        <v>#VALUE!</v>
      </c>
    </row>
    <row r="10" spans="1:23" x14ac:dyDescent="0.2">
      <c r="A10" t="s">
        <v>1074</v>
      </c>
      <c r="D10">
        <v>0.21627486000000001</v>
      </c>
      <c r="E10">
        <v>8.6888330000000007</v>
      </c>
    </row>
    <row r="11" spans="1:23" x14ac:dyDescent="0.2">
      <c r="A11" t="s">
        <v>1075</v>
      </c>
      <c r="D11">
        <v>1.4445003999999999</v>
      </c>
      <c r="E11">
        <v>8.3188329999999997</v>
      </c>
    </row>
    <row r="12" spans="1:23" x14ac:dyDescent="0.2">
      <c r="A12" t="s">
        <v>1076</v>
      </c>
      <c r="D12">
        <v>11.352474000000001</v>
      </c>
      <c r="E12">
        <v>7.9488335000000001</v>
      </c>
    </row>
    <row r="13" spans="1:23" x14ac:dyDescent="0.2">
      <c r="A13" t="s">
        <v>1077</v>
      </c>
      <c r="D13">
        <v>27.798850000000002</v>
      </c>
      <c r="E13">
        <v>8.1316000000000006</v>
      </c>
    </row>
    <row r="14" spans="1:23" x14ac:dyDescent="0.2">
      <c r="A14" t="s">
        <v>1078</v>
      </c>
      <c r="D14">
        <v>36.219326000000002</v>
      </c>
      <c r="E14">
        <v>8.2380329999999997</v>
      </c>
    </row>
    <row r="15" spans="1:23" x14ac:dyDescent="0.2">
      <c r="A15" t="s">
        <v>1079</v>
      </c>
      <c r="D15">
        <v>37.159897000000001</v>
      </c>
      <c r="E15">
        <v>8.2204010000000007</v>
      </c>
    </row>
    <row r="16" spans="1:23" x14ac:dyDescent="0.2">
      <c r="A16" t="s">
        <v>1080</v>
      </c>
      <c r="D16">
        <v>32.634124999999997</v>
      </c>
      <c r="E16">
        <v>8.2653999999999996</v>
      </c>
    </row>
    <row r="17" spans="1:5" x14ac:dyDescent="0.2">
      <c r="A17" t="s">
        <v>1081</v>
      </c>
      <c r="D17">
        <v>19.303276</v>
      </c>
      <c r="E17">
        <v>8.3173999999999992</v>
      </c>
    </row>
    <row r="18" spans="1:5" x14ac:dyDescent="0.2">
      <c r="A18" t="s">
        <v>1082</v>
      </c>
      <c r="D18">
        <v>8.6441510000000008</v>
      </c>
      <c r="E18">
        <v>11.2029</v>
      </c>
    </row>
    <row r="19" spans="1:5" x14ac:dyDescent="0.2">
      <c r="A19" t="s">
        <v>1083</v>
      </c>
      <c r="D19">
        <v>0.29062545000000001</v>
      </c>
      <c r="E19">
        <v>11.2029</v>
      </c>
    </row>
    <row r="20" spans="1:5" x14ac:dyDescent="0.2">
      <c r="A20" t="s">
        <v>1084</v>
      </c>
      <c r="D20">
        <v>0</v>
      </c>
      <c r="E20">
        <v>11.1134</v>
      </c>
    </row>
    <row r="21" spans="1:5" x14ac:dyDescent="0.2">
      <c r="A21" t="s">
        <v>1085</v>
      </c>
      <c r="D21">
        <v>0</v>
      </c>
      <c r="E21">
        <v>11.023899999999999</v>
      </c>
    </row>
    <row r="22" spans="1:5" x14ac:dyDescent="0.2">
      <c r="A22" t="s">
        <v>1086</v>
      </c>
      <c r="D22">
        <v>0</v>
      </c>
      <c r="E22">
        <v>11.272532999999999</v>
      </c>
    </row>
    <row r="23" spans="1:5" x14ac:dyDescent="0.2">
      <c r="A23" t="s">
        <v>1087</v>
      </c>
      <c r="D23">
        <v>0</v>
      </c>
      <c r="E23">
        <v>11.521167</v>
      </c>
    </row>
    <row r="24" spans="1:5" x14ac:dyDescent="0.2">
      <c r="A24" t="s">
        <v>1088</v>
      </c>
      <c r="D24">
        <v>0</v>
      </c>
      <c r="E24">
        <v>11.7698</v>
      </c>
    </row>
    <row r="25" spans="1:5" x14ac:dyDescent="0.2">
      <c r="A25" t="s">
        <v>1089</v>
      </c>
      <c r="D25">
        <v>0</v>
      </c>
      <c r="E25">
        <v>11.12975</v>
      </c>
    </row>
    <row r="26" spans="1:5" x14ac:dyDescent="0.2">
      <c r="A26" t="s">
        <v>1090</v>
      </c>
      <c r="D26">
        <v>0</v>
      </c>
      <c r="E26">
        <v>8.4375</v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dimension ref="A1:W26"/>
  <sheetViews>
    <sheetView workbookViewId="0"/>
  </sheetViews>
  <sheetFormatPr baseColWidth="10" defaultColWidth="8.83203125" defaultRowHeight="15" x14ac:dyDescent="0.2"/>
  <sheetData>
    <row r="1" spans="1:23" x14ac:dyDescent="0.2">
      <c r="A1" t="s">
        <v>0</v>
      </c>
      <c r="D1" t="s">
        <v>1</v>
      </c>
      <c r="L1" t="s">
        <v>2</v>
      </c>
      <c r="R1" t="s">
        <v>3</v>
      </c>
      <c r="S1" s="1">
        <v>0</v>
      </c>
      <c r="T1">
        <f>S1*V1</f>
        <v>0</v>
      </c>
    </row>
    <row r="2" spans="1:23" x14ac:dyDescent="0.2">
      <c r="A2" t="s">
        <v>6</v>
      </c>
      <c r="B2" t="s">
        <v>7</v>
      </c>
      <c r="C2" t="s">
        <v>8</v>
      </c>
      <c r="D2" t="s">
        <v>9</v>
      </c>
      <c r="E2" t="s">
        <v>10</v>
      </c>
      <c r="F2" t="s">
        <v>11</v>
      </c>
      <c r="G2" t="s">
        <v>12</v>
      </c>
      <c r="H2" t="s">
        <v>13</v>
      </c>
      <c r="I2" t="s">
        <v>14</v>
      </c>
      <c r="L2" t="s">
        <v>6</v>
      </c>
      <c r="M2" t="s">
        <v>7</v>
      </c>
      <c r="N2" t="s">
        <v>8</v>
      </c>
      <c r="O2" t="s">
        <v>9</v>
      </c>
      <c r="P2" t="s">
        <v>10</v>
      </c>
      <c r="Q2" t="s">
        <v>11</v>
      </c>
      <c r="R2" t="s">
        <v>12</v>
      </c>
      <c r="S2" t="s">
        <v>13</v>
      </c>
      <c r="T2" t="s">
        <v>14</v>
      </c>
    </row>
    <row r="3" spans="1:23" x14ac:dyDescent="0.2">
      <c r="A3" t="s">
        <v>1091</v>
      </c>
      <c r="D3">
        <v>0</v>
      </c>
      <c r="E3">
        <v>9.8067499999999992</v>
      </c>
    </row>
    <row r="4" spans="1:23" x14ac:dyDescent="0.2">
      <c r="A4" t="s">
        <v>1092</v>
      </c>
      <c r="D4">
        <v>0</v>
      </c>
      <c r="E4">
        <v>11.176</v>
      </c>
    </row>
    <row r="5" spans="1:23" x14ac:dyDescent="0.2">
      <c r="A5" t="s">
        <v>1093</v>
      </c>
      <c r="D5">
        <v>0</v>
      </c>
      <c r="E5">
        <v>10.8466</v>
      </c>
    </row>
    <row r="6" spans="1:23" x14ac:dyDescent="0.2">
      <c r="A6" t="s">
        <v>1094</v>
      </c>
      <c r="D6">
        <v>0</v>
      </c>
      <c r="E6">
        <v>9.0642999999999994</v>
      </c>
      <c r="V6" t="s">
        <v>20</v>
      </c>
      <c r="W6" t="s">
        <v>853</v>
      </c>
    </row>
    <row r="7" spans="1:23" x14ac:dyDescent="0.2">
      <c r="A7" t="s">
        <v>1095</v>
      </c>
      <c r="D7">
        <v>0</v>
      </c>
      <c r="E7">
        <v>8.3336509999999997</v>
      </c>
      <c r="V7" t="s">
        <v>23</v>
      </c>
    </row>
    <row r="8" spans="1:23" x14ac:dyDescent="0.2">
      <c r="A8" t="s">
        <v>1096</v>
      </c>
      <c r="D8">
        <v>0</v>
      </c>
      <c r="E8">
        <v>8.3140499999999999</v>
      </c>
      <c r="V8" t="s">
        <v>26</v>
      </c>
      <c r="W8" t="s">
        <v>856</v>
      </c>
    </row>
    <row r="9" spans="1:23" x14ac:dyDescent="0.2">
      <c r="A9" t="s">
        <v>1097</v>
      </c>
      <c r="D9">
        <v>0</v>
      </c>
      <c r="E9">
        <v>8.3140499999999999</v>
      </c>
      <c r="V9" t="s">
        <v>28</v>
      </c>
      <c r="W9" t="e">
        <f>W8/60</f>
        <v>#VALUE!</v>
      </c>
    </row>
    <row r="10" spans="1:23" x14ac:dyDescent="0.2">
      <c r="A10" t="s">
        <v>1098</v>
      </c>
      <c r="D10">
        <v>0.25692525999999999</v>
      </c>
      <c r="E10">
        <v>7.7492999999999999</v>
      </c>
    </row>
    <row r="11" spans="1:23" x14ac:dyDescent="0.2">
      <c r="A11" t="s">
        <v>1099</v>
      </c>
      <c r="D11">
        <v>2.3531</v>
      </c>
      <c r="E11">
        <v>7.7492999999999999</v>
      </c>
    </row>
    <row r="12" spans="1:23" x14ac:dyDescent="0.2">
      <c r="A12" t="s">
        <v>1100</v>
      </c>
      <c r="D12">
        <v>3.3233755</v>
      </c>
      <c r="E12">
        <v>8.5764499999999995</v>
      </c>
    </row>
    <row r="13" spans="1:23" x14ac:dyDescent="0.2">
      <c r="A13" t="s">
        <v>1101</v>
      </c>
      <c r="D13">
        <v>7.1710004999999999</v>
      </c>
      <c r="E13">
        <v>8.4155999999999995</v>
      </c>
    </row>
    <row r="14" spans="1:23" x14ac:dyDescent="0.2">
      <c r="A14" t="s">
        <v>1102</v>
      </c>
      <c r="D14">
        <v>5.2194250000000002</v>
      </c>
      <c r="E14">
        <v>8.2547499999999996</v>
      </c>
    </row>
    <row r="15" spans="1:23" x14ac:dyDescent="0.2">
      <c r="A15" t="s">
        <v>1103</v>
      </c>
      <c r="D15">
        <v>7.2430490000000001</v>
      </c>
      <c r="E15">
        <v>8.0938999999999997</v>
      </c>
    </row>
    <row r="16" spans="1:23" x14ac:dyDescent="0.2">
      <c r="A16" t="s">
        <v>1104</v>
      </c>
      <c r="D16">
        <v>3.6614751999999999</v>
      </c>
      <c r="E16">
        <v>8.2202009999999994</v>
      </c>
    </row>
    <row r="17" spans="1:5" x14ac:dyDescent="0.2">
      <c r="A17" t="s">
        <v>1105</v>
      </c>
      <c r="D17">
        <v>1.9394</v>
      </c>
      <c r="E17">
        <v>8.3465000000000007</v>
      </c>
    </row>
    <row r="18" spans="1:5" x14ac:dyDescent="0.2">
      <c r="A18" t="s">
        <v>1106</v>
      </c>
      <c r="D18">
        <v>2.2356498</v>
      </c>
      <c r="E18">
        <v>7.277933</v>
      </c>
    </row>
    <row r="19" spans="1:5" x14ac:dyDescent="0.2">
      <c r="A19" t="s">
        <v>1107</v>
      </c>
      <c r="D19">
        <v>9.525045E-2</v>
      </c>
      <c r="E19">
        <v>7.277933</v>
      </c>
    </row>
    <row r="20" spans="1:5" x14ac:dyDescent="0.2">
      <c r="A20" t="s">
        <v>1108</v>
      </c>
      <c r="D20">
        <v>0</v>
      </c>
      <c r="E20">
        <v>11.6333</v>
      </c>
    </row>
    <row r="21" spans="1:5" x14ac:dyDescent="0.2">
      <c r="A21" t="s">
        <v>1109</v>
      </c>
      <c r="D21">
        <v>0</v>
      </c>
      <c r="E21">
        <v>11.5343</v>
      </c>
    </row>
    <row r="22" spans="1:5" x14ac:dyDescent="0.2">
      <c r="A22" t="s">
        <v>1110</v>
      </c>
      <c r="D22">
        <v>0</v>
      </c>
      <c r="E22">
        <v>11.562901</v>
      </c>
    </row>
    <row r="23" spans="1:5" x14ac:dyDescent="0.2">
      <c r="A23" t="s">
        <v>1111</v>
      </c>
      <c r="D23">
        <v>0</v>
      </c>
      <c r="E23">
        <v>11.7386</v>
      </c>
    </row>
    <row r="24" spans="1:5" x14ac:dyDescent="0.2">
      <c r="A24" t="s">
        <v>1112</v>
      </c>
      <c r="D24">
        <v>0</v>
      </c>
      <c r="E24">
        <v>11.822150000000001</v>
      </c>
    </row>
    <row r="25" spans="1:5" x14ac:dyDescent="0.2">
      <c r="A25" t="s">
        <v>1113</v>
      </c>
      <c r="D25">
        <v>0</v>
      </c>
      <c r="E25">
        <v>11.324201</v>
      </c>
    </row>
    <row r="26" spans="1:5" x14ac:dyDescent="0.2">
      <c r="A26" t="s">
        <v>1114</v>
      </c>
      <c r="D26">
        <v>0</v>
      </c>
      <c r="E26">
        <v>10.08155</v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dimension ref="A1:W26"/>
  <sheetViews>
    <sheetView workbookViewId="0"/>
  </sheetViews>
  <sheetFormatPr baseColWidth="10" defaultColWidth="8.83203125" defaultRowHeight="15" x14ac:dyDescent="0.2"/>
  <sheetData>
    <row r="1" spans="1:23" x14ac:dyDescent="0.2">
      <c r="A1" t="s">
        <v>0</v>
      </c>
      <c r="D1" t="s">
        <v>1</v>
      </c>
      <c r="L1" t="s">
        <v>2</v>
      </c>
      <c r="R1" t="s">
        <v>3</v>
      </c>
      <c r="S1" s="1">
        <v>0</v>
      </c>
      <c r="T1">
        <f>S1*V1</f>
        <v>0</v>
      </c>
    </row>
    <row r="2" spans="1:23" x14ac:dyDescent="0.2">
      <c r="A2" t="s">
        <v>6</v>
      </c>
      <c r="B2" t="s">
        <v>7</v>
      </c>
      <c r="C2" t="s">
        <v>8</v>
      </c>
      <c r="D2" t="s">
        <v>9</v>
      </c>
      <c r="E2" t="s">
        <v>10</v>
      </c>
      <c r="F2" t="s">
        <v>11</v>
      </c>
      <c r="G2" t="s">
        <v>12</v>
      </c>
      <c r="H2" t="s">
        <v>13</v>
      </c>
      <c r="I2" t="s">
        <v>14</v>
      </c>
      <c r="L2" t="s">
        <v>6</v>
      </c>
      <c r="M2" t="s">
        <v>7</v>
      </c>
      <c r="N2" t="s">
        <v>8</v>
      </c>
      <c r="O2" t="s">
        <v>9</v>
      </c>
      <c r="P2" t="s">
        <v>10</v>
      </c>
      <c r="Q2" t="s">
        <v>11</v>
      </c>
      <c r="R2" t="s">
        <v>12</v>
      </c>
      <c r="S2" t="s">
        <v>13</v>
      </c>
      <c r="T2" t="s">
        <v>14</v>
      </c>
    </row>
    <row r="3" spans="1:23" x14ac:dyDescent="0.2">
      <c r="A3" t="s">
        <v>1115</v>
      </c>
      <c r="D3">
        <v>0</v>
      </c>
      <c r="E3">
        <v>8.8389009999999999</v>
      </c>
    </row>
    <row r="4" spans="1:23" x14ac:dyDescent="0.2">
      <c r="A4" t="s">
        <v>1116</v>
      </c>
      <c r="D4">
        <v>0</v>
      </c>
      <c r="E4">
        <v>8.6982990000000004</v>
      </c>
    </row>
    <row r="5" spans="1:23" x14ac:dyDescent="0.2">
      <c r="A5" t="s">
        <v>1117</v>
      </c>
      <c r="D5">
        <v>0</v>
      </c>
      <c r="E5">
        <v>8.5577000000000005</v>
      </c>
    </row>
    <row r="6" spans="1:23" x14ac:dyDescent="0.2">
      <c r="A6" t="s">
        <v>1118</v>
      </c>
      <c r="D6">
        <v>0</v>
      </c>
      <c r="E6">
        <v>8.8409999999999993</v>
      </c>
      <c r="V6" t="s">
        <v>20</v>
      </c>
      <c r="W6" t="s">
        <v>853</v>
      </c>
    </row>
    <row r="7" spans="1:23" x14ac:dyDescent="0.2">
      <c r="A7" t="s">
        <v>1119</v>
      </c>
      <c r="D7">
        <v>0</v>
      </c>
      <c r="E7">
        <v>9.1242999999999999</v>
      </c>
      <c r="V7" t="s">
        <v>23</v>
      </c>
    </row>
    <row r="8" spans="1:23" x14ac:dyDescent="0.2">
      <c r="A8" t="s">
        <v>1120</v>
      </c>
      <c r="D8">
        <v>0</v>
      </c>
      <c r="E8">
        <v>8.3144500000000008</v>
      </c>
      <c r="V8" t="s">
        <v>26</v>
      </c>
      <c r="W8" t="s">
        <v>856</v>
      </c>
    </row>
    <row r="9" spans="1:23" x14ac:dyDescent="0.2">
      <c r="A9" t="s">
        <v>1121</v>
      </c>
      <c r="D9">
        <v>0</v>
      </c>
      <c r="E9">
        <v>8.3568999999999996</v>
      </c>
      <c r="V9" t="s">
        <v>28</v>
      </c>
      <c r="W9" t="e">
        <f>W8/60</f>
        <v>#VALUE!</v>
      </c>
    </row>
    <row r="10" spans="1:23" x14ac:dyDescent="0.2">
      <c r="A10" t="s">
        <v>1122</v>
      </c>
      <c r="D10">
        <v>0</v>
      </c>
      <c r="E10">
        <v>8.3119999999999994</v>
      </c>
    </row>
    <row r="11" spans="1:23" x14ac:dyDescent="0.2">
      <c r="A11" t="s">
        <v>1123</v>
      </c>
      <c r="D11">
        <v>1.3153257</v>
      </c>
      <c r="E11">
        <v>8.267099</v>
      </c>
    </row>
    <row r="12" spans="1:23" x14ac:dyDescent="0.2">
      <c r="A12" t="s">
        <v>1124</v>
      </c>
      <c r="D12">
        <v>5.3730500000000001</v>
      </c>
      <c r="E12">
        <v>8.2222000000000008</v>
      </c>
    </row>
    <row r="13" spans="1:23" x14ac:dyDescent="0.2">
      <c r="A13" t="s">
        <v>1125</v>
      </c>
      <c r="D13">
        <v>25.675000000000001</v>
      </c>
      <c r="E13">
        <v>8.2212599999999991</v>
      </c>
    </row>
    <row r="14" spans="1:23" x14ac:dyDescent="0.2">
      <c r="A14" t="s">
        <v>1126</v>
      </c>
      <c r="D14">
        <v>31.962924999999998</v>
      </c>
      <c r="E14">
        <v>8.2203210000000002</v>
      </c>
    </row>
    <row r="15" spans="1:23" x14ac:dyDescent="0.2">
      <c r="A15" t="s">
        <v>1127</v>
      </c>
      <c r="D15">
        <v>15.821650500000001</v>
      </c>
      <c r="E15">
        <v>8.2417339999999992</v>
      </c>
    </row>
    <row r="16" spans="1:23" x14ac:dyDescent="0.2">
      <c r="A16" t="s">
        <v>1128</v>
      </c>
      <c r="D16">
        <v>26.931625</v>
      </c>
      <c r="E16">
        <v>8.2631460000000008</v>
      </c>
    </row>
    <row r="17" spans="1:5" x14ac:dyDescent="0.2">
      <c r="A17" t="s">
        <v>1129</v>
      </c>
      <c r="D17">
        <v>9.2099499999999992</v>
      </c>
      <c r="E17">
        <v>8.2581500000000005</v>
      </c>
    </row>
    <row r="18" spans="1:5" x14ac:dyDescent="0.2">
      <c r="A18" t="s">
        <v>1130</v>
      </c>
      <c r="D18">
        <v>3.2970003999999999</v>
      </c>
      <c r="E18">
        <v>8.2531529999999993</v>
      </c>
    </row>
    <row r="19" spans="1:5" x14ac:dyDescent="0.2">
      <c r="A19" t="s">
        <v>1131</v>
      </c>
      <c r="D19">
        <v>0.46802586000000002</v>
      </c>
      <c r="E19">
        <v>8.0804500000000008</v>
      </c>
    </row>
    <row r="20" spans="1:5" x14ac:dyDescent="0.2">
      <c r="A20" t="s">
        <v>1132</v>
      </c>
      <c r="D20">
        <v>0</v>
      </c>
      <c r="E20">
        <v>8.2646499999999996</v>
      </c>
    </row>
    <row r="21" spans="1:5" x14ac:dyDescent="0.2">
      <c r="A21" t="s">
        <v>1133</v>
      </c>
      <c r="D21">
        <v>0</v>
      </c>
      <c r="E21">
        <v>8.4488500000000002</v>
      </c>
    </row>
    <row r="22" spans="1:5" x14ac:dyDescent="0.2">
      <c r="A22" t="s">
        <v>1134</v>
      </c>
      <c r="D22">
        <v>0</v>
      </c>
      <c r="E22">
        <v>9.7088999999999999</v>
      </c>
    </row>
    <row r="23" spans="1:5" x14ac:dyDescent="0.2">
      <c r="A23" t="s">
        <v>1135</v>
      </c>
      <c r="D23">
        <v>0</v>
      </c>
      <c r="E23">
        <v>9.7106999999999992</v>
      </c>
    </row>
    <row r="24" spans="1:5" x14ac:dyDescent="0.2">
      <c r="A24" t="s">
        <v>1136</v>
      </c>
      <c r="D24">
        <v>0</v>
      </c>
      <c r="E24">
        <v>9.7125000000000004</v>
      </c>
    </row>
    <row r="25" spans="1:5" x14ac:dyDescent="0.2">
      <c r="A25" t="s">
        <v>1137</v>
      </c>
      <c r="D25">
        <v>0</v>
      </c>
      <c r="E25">
        <v>9.6581510000000002</v>
      </c>
    </row>
    <row r="26" spans="1:5" x14ac:dyDescent="0.2">
      <c r="A26" t="s">
        <v>1138</v>
      </c>
      <c r="D26">
        <v>0</v>
      </c>
      <c r="E26">
        <v>6.7812004000000004</v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dimension ref="A1:W26"/>
  <sheetViews>
    <sheetView workbookViewId="0"/>
  </sheetViews>
  <sheetFormatPr baseColWidth="10" defaultColWidth="8.83203125" defaultRowHeight="15" x14ac:dyDescent="0.2"/>
  <sheetData>
    <row r="1" spans="1:23" x14ac:dyDescent="0.2">
      <c r="A1" t="s">
        <v>0</v>
      </c>
      <c r="D1" t="s">
        <v>1</v>
      </c>
      <c r="L1" t="s">
        <v>2</v>
      </c>
      <c r="R1" t="s">
        <v>3</v>
      </c>
      <c r="S1" s="1">
        <v>0</v>
      </c>
      <c r="T1">
        <f>S1*V1</f>
        <v>0</v>
      </c>
    </row>
    <row r="2" spans="1:23" x14ac:dyDescent="0.2">
      <c r="A2" t="s">
        <v>6</v>
      </c>
      <c r="B2" t="s">
        <v>7</v>
      </c>
      <c r="C2" t="s">
        <v>8</v>
      </c>
      <c r="D2" t="s">
        <v>9</v>
      </c>
      <c r="E2" t="s">
        <v>10</v>
      </c>
      <c r="F2" t="s">
        <v>11</v>
      </c>
      <c r="G2" t="s">
        <v>12</v>
      </c>
      <c r="H2" t="s">
        <v>13</v>
      </c>
      <c r="I2" t="s">
        <v>14</v>
      </c>
      <c r="L2" t="s">
        <v>6</v>
      </c>
      <c r="M2" t="s">
        <v>7</v>
      </c>
      <c r="N2" t="s">
        <v>8</v>
      </c>
      <c r="O2" t="s">
        <v>9</v>
      </c>
      <c r="P2" t="s">
        <v>10</v>
      </c>
      <c r="Q2" t="s">
        <v>11</v>
      </c>
      <c r="R2" t="s">
        <v>12</v>
      </c>
      <c r="S2" t="s">
        <v>13</v>
      </c>
      <c r="T2" t="s">
        <v>14</v>
      </c>
    </row>
    <row r="3" spans="1:23" x14ac:dyDescent="0.2">
      <c r="A3" t="s">
        <v>1139</v>
      </c>
      <c r="D3">
        <v>0</v>
      </c>
      <c r="E3">
        <v>6.7812004000000004</v>
      </c>
    </row>
    <row r="4" spans="1:23" x14ac:dyDescent="0.2">
      <c r="A4" t="s">
        <v>1140</v>
      </c>
      <c r="D4">
        <v>0</v>
      </c>
      <c r="E4">
        <v>9.170401</v>
      </c>
    </row>
    <row r="5" spans="1:23" x14ac:dyDescent="0.2">
      <c r="A5" t="s">
        <v>1141</v>
      </c>
      <c r="D5">
        <v>0</v>
      </c>
      <c r="E5">
        <v>8.3276669999999999</v>
      </c>
    </row>
    <row r="6" spans="1:23" x14ac:dyDescent="0.2">
      <c r="A6" t="s">
        <v>1142</v>
      </c>
      <c r="D6">
        <v>0</v>
      </c>
      <c r="E6">
        <v>8.3276669999999999</v>
      </c>
      <c r="V6" t="s">
        <v>20</v>
      </c>
      <c r="W6" t="s">
        <v>853</v>
      </c>
    </row>
    <row r="7" spans="1:23" x14ac:dyDescent="0.2">
      <c r="A7" t="s">
        <v>1143</v>
      </c>
      <c r="D7">
        <v>0</v>
      </c>
      <c r="E7">
        <v>8.2848489999999995</v>
      </c>
      <c r="V7" t="s">
        <v>23</v>
      </c>
    </row>
    <row r="8" spans="1:23" x14ac:dyDescent="0.2">
      <c r="A8" t="s">
        <v>1144</v>
      </c>
      <c r="D8">
        <v>0</v>
      </c>
      <c r="E8">
        <v>8.2654999999999994</v>
      </c>
      <c r="V8" t="s">
        <v>26</v>
      </c>
      <c r="W8" t="s">
        <v>856</v>
      </c>
    </row>
    <row r="9" spans="1:23" x14ac:dyDescent="0.2">
      <c r="A9" t="s">
        <v>1145</v>
      </c>
      <c r="D9">
        <v>0</v>
      </c>
      <c r="E9">
        <v>8.2461500000000001</v>
      </c>
      <c r="V9" t="s">
        <v>28</v>
      </c>
      <c r="W9" t="e">
        <f>W8/60</f>
        <v>#VALUE!</v>
      </c>
    </row>
    <row r="10" spans="1:23" x14ac:dyDescent="0.2">
      <c r="A10" t="s">
        <v>1146</v>
      </c>
      <c r="D10">
        <v>4.1351029999999997E-2</v>
      </c>
      <c r="E10">
        <v>8.2461500000000001</v>
      </c>
    </row>
    <row r="11" spans="1:23" x14ac:dyDescent="0.2">
      <c r="A11" t="s">
        <v>1147</v>
      </c>
      <c r="D11">
        <v>0.80752385000000004</v>
      </c>
      <c r="E11">
        <v>8.2744999999999997</v>
      </c>
    </row>
    <row r="12" spans="1:23" x14ac:dyDescent="0.2">
      <c r="A12" t="s">
        <v>1148</v>
      </c>
      <c r="D12">
        <v>2.5143247</v>
      </c>
      <c r="E12">
        <v>8.2744999999999997</v>
      </c>
    </row>
    <row r="13" spans="1:23" x14ac:dyDescent="0.2">
      <c r="A13" t="s">
        <v>1149</v>
      </c>
      <c r="D13">
        <v>12.0824</v>
      </c>
      <c r="E13">
        <v>8.1989999999999998</v>
      </c>
    </row>
    <row r="14" spans="1:23" x14ac:dyDescent="0.2">
      <c r="A14" t="s">
        <v>1150</v>
      </c>
      <c r="D14">
        <v>22.707675999999999</v>
      </c>
      <c r="E14">
        <v>8.3296500000000009</v>
      </c>
    </row>
    <row r="15" spans="1:23" x14ac:dyDescent="0.2">
      <c r="A15" t="s">
        <v>1151</v>
      </c>
      <c r="D15">
        <v>9.3552</v>
      </c>
      <c r="E15">
        <v>8.2414009999999998</v>
      </c>
    </row>
    <row r="16" spans="1:23" x14ac:dyDescent="0.2">
      <c r="A16" t="s">
        <v>1152</v>
      </c>
      <c r="D16">
        <v>9.4025499999999997</v>
      </c>
      <c r="E16">
        <v>8.1531500000000001</v>
      </c>
    </row>
    <row r="17" spans="1:5" x14ac:dyDescent="0.2">
      <c r="A17" t="s">
        <v>1153</v>
      </c>
      <c r="D17">
        <v>9.6280990000000006</v>
      </c>
      <c r="E17">
        <v>7.8361000000000001</v>
      </c>
    </row>
    <row r="18" spans="1:5" x14ac:dyDescent="0.2">
      <c r="A18" t="s">
        <v>1154</v>
      </c>
      <c r="D18">
        <v>3.7701500000000001</v>
      </c>
      <c r="E18">
        <v>8.2134669999999996</v>
      </c>
    </row>
    <row r="19" spans="1:5" x14ac:dyDescent="0.2">
      <c r="A19" t="s">
        <v>1155</v>
      </c>
      <c r="D19">
        <v>0.54285000000000005</v>
      </c>
      <c r="E19">
        <v>8.1888330000000007</v>
      </c>
    </row>
    <row r="20" spans="1:5" x14ac:dyDescent="0.2">
      <c r="A20" t="s">
        <v>1156</v>
      </c>
      <c r="D20">
        <v>0</v>
      </c>
      <c r="E20">
        <v>8.1641999999999992</v>
      </c>
    </row>
    <row r="21" spans="1:5" x14ac:dyDescent="0.2">
      <c r="A21" t="s">
        <v>1157</v>
      </c>
      <c r="D21">
        <v>0</v>
      </c>
      <c r="E21">
        <v>8.3721999999999994</v>
      </c>
    </row>
    <row r="22" spans="1:5" x14ac:dyDescent="0.2">
      <c r="A22" t="s">
        <v>1158</v>
      </c>
      <c r="D22">
        <v>0</v>
      </c>
      <c r="E22">
        <v>8.1922010000000007</v>
      </c>
    </row>
    <row r="23" spans="1:5" x14ac:dyDescent="0.2">
      <c r="A23" t="s">
        <v>1159</v>
      </c>
      <c r="D23">
        <v>0</v>
      </c>
      <c r="E23">
        <v>8.2879000000000005</v>
      </c>
    </row>
    <row r="24" spans="1:5" x14ac:dyDescent="0.2">
      <c r="A24" t="s">
        <v>1160</v>
      </c>
      <c r="D24">
        <v>0</v>
      </c>
      <c r="E24">
        <v>8.1498995000000001</v>
      </c>
    </row>
    <row r="25" spans="1:5" x14ac:dyDescent="0.2">
      <c r="A25" t="s">
        <v>1161</v>
      </c>
      <c r="D25">
        <v>0</v>
      </c>
      <c r="E25">
        <v>8.0119000000000007</v>
      </c>
    </row>
    <row r="26" spans="1:5" x14ac:dyDescent="0.2">
      <c r="A26" t="s">
        <v>1162</v>
      </c>
      <c r="D26">
        <v>0</v>
      </c>
      <c r="E26">
        <v>8.1867999999999999</v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dimension ref="A1:W26"/>
  <sheetViews>
    <sheetView workbookViewId="0"/>
  </sheetViews>
  <sheetFormatPr baseColWidth="10" defaultColWidth="8.83203125" defaultRowHeight="15" x14ac:dyDescent="0.2"/>
  <sheetData>
    <row r="1" spans="1:23" x14ac:dyDescent="0.2">
      <c r="A1" t="s">
        <v>0</v>
      </c>
      <c r="D1" t="s">
        <v>1</v>
      </c>
      <c r="L1" t="s">
        <v>2</v>
      </c>
      <c r="R1" t="s">
        <v>3</v>
      </c>
      <c r="S1" s="1">
        <v>0</v>
      </c>
      <c r="T1">
        <f>S1*V1</f>
        <v>0</v>
      </c>
    </row>
    <row r="2" spans="1:23" x14ac:dyDescent="0.2">
      <c r="A2" t="s">
        <v>6</v>
      </c>
      <c r="B2" t="s">
        <v>7</v>
      </c>
      <c r="C2" t="s">
        <v>8</v>
      </c>
      <c r="D2" t="s">
        <v>9</v>
      </c>
      <c r="E2" t="s">
        <v>10</v>
      </c>
      <c r="F2" t="s">
        <v>11</v>
      </c>
      <c r="G2" t="s">
        <v>12</v>
      </c>
      <c r="H2" t="s">
        <v>13</v>
      </c>
      <c r="I2" t="s">
        <v>14</v>
      </c>
      <c r="L2" t="s">
        <v>6</v>
      </c>
      <c r="M2" t="s">
        <v>7</v>
      </c>
      <c r="N2" t="s">
        <v>8</v>
      </c>
      <c r="O2" t="s">
        <v>9</v>
      </c>
      <c r="P2" t="s">
        <v>10</v>
      </c>
      <c r="Q2" t="s">
        <v>11</v>
      </c>
      <c r="R2" t="s">
        <v>12</v>
      </c>
      <c r="S2" t="s">
        <v>13</v>
      </c>
      <c r="T2" t="s">
        <v>14</v>
      </c>
    </row>
    <row r="3" spans="1:23" x14ac:dyDescent="0.2">
      <c r="A3" t="s">
        <v>1163</v>
      </c>
      <c r="D3">
        <v>0</v>
      </c>
      <c r="E3">
        <v>6.6989999999999998</v>
      </c>
    </row>
    <row r="4" spans="1:23" x14ac:dyDescent="0.2">
      <c r="A4" t="s">
        <v>1164</v>
      </c>
      <c r="D4">
        <v>0</v>
      </c>
      <c r="E4">
        <v>8.1877499999999994</v>
      </c>
    </row>
    <row r="5" spans="1:23" x14ac:dyDescent="0.2">
      <c r="A5" t="s">
        <v>1165</v>
      </c>
      <c r="D5">
        <v>0</v>
      </c>
      <c r="E5">
        <v>8.1980989999999991</v>
      </c>
    </row>
    <row r="6" spans="1:23" x14ac:dyDescent="0.2">
      <c r="A6" t="s">
        <v>1166</v>
      </c>
      <c r="D6">
        <v>0</v>
      </c>
      <c r="E6">
        <v>8.2084499999999991</v>
      </c>
      <c r="V6" t="s">
        <v>20</v>
      </c>
      <c r="W6" t="s">
        <v>853</v>
      </c>
    </row>
    <row r="7" spans="1:23" x14ac:dyDescent="0.2">
      <c r="A7" t="s">
        <v>1167</v>
      </c>
      <c r="D7">
        <v>0</v>
      </c>
      <c r="E7">
        <v>8.1844000000000001</v>
      </c>
      <c r="V7" t="s">
        <v>23</v>
      </c>
    </row>
    <row r="8" spans="1:23" x14ac:dyDescent="0.2">
      <c r="A8" t="s">
        <v>1168</v>
      </c>
      <c r="D8">
        <v>0</v>
      </c>
      <c r="E8">
        <v>8.1829669999999997</v>
      </c>
      <c r="V8" t="s">
        <v>26</v>
      </c>
      <c r="W8" t="s">
        <v>856</v>
      </c>
    </row>
    <row r="9" spans="1:23" x14ac:dyDescent="0.2">
      <c r="A9" t="s">
        <v>1169</v>
      </c>
      <c r="D9">
        <v>0</v>
      </c>
      <c r="E9">
        <v>8.3749009999999995</v>
      </c>
      <c r="V9" t="s">
        <v>28</v>
      </c>
      <c r="W9" t="e">
        <f>W8/60</f>
        <v>#VALUE!</v>
      </c>
    </row>
    <row r="10" spans="1:23" x14ac:dyDescent="0.2">
      <c r="A10" t="s">
        <v>1170</v>
      </c>
      <c r="D10">
        <v>0.17410006</v>
      </c>
      <c r="E10">
        <v>7.8284000000000002</v>
      </c>
    </row>
    <row r="11" spans="1:23" x14ac:dyDescent="0.2">
      <c r="A11" t="s">
        <v>1171</v>
      </c>
      <c r="D11">
        <v>1.3778999000000001</v>
      </c>
      <c r="E11">
        <v>7.8284000000000002</v>
      </c>
    </row>
    <row r="12" spans="1:23" x14ac:dyDescent="0.2">
      <c r="A12" t="s">
        <v>1172</v>
      </c>
      <c r="D12">
        <v>9.1655750000000005</v>
      </c>
      <c r="E12">
        <v>7.8284000000000002</v>
      </c>
    </row>
    <row r="13" spans="1:23" x14ac:dyDescent="0.2">
      <c r="A13" t="s">
        <v>1173</v>
      </c>
      <c r="D13">
        <v>26.526700000000002</v>
      </c>
      <c r="E13">
        <v>8.1366005000000001</v>
      </c>
    </row>
    <row r="14" spans="1:23" x14ac:dyDescent="0.2">
      <c r="A14" t="s">
        <v>1174</v>
      </c>
      <c r="D14">
        <v>34.613101999999998</v>
      </c>
      <c r="E14">
        <v>8.1366005000000001</v>
      </c>
    </row>
    <row r="15" spans="1:23" x14ac:dyDescent="0.2">
      <c r="A15" t="s">
        <v>1175</v>
      </c>
      <c r="D15">
        <v>35.089626000000003</v>
      </c>
      <c r="E15">
        <v>8.2775499999999997</v>
      </c>
    </row>
    <row r="16" spans="1:23" x14ac:dyDescent="0.2">
      <c r="A16" t="s">
        <v>1176</v>
      </c>
      <c r="D16">
        <v>30.327850000000002</v>
      </c>
      <c r="E16">
        <v>8.2775499999999997</v>
      </c>
    </row>
    <row r="17" spans="1:5" x14ac:dyDescent="0.2">
      <c r="A17" t="s">
        <v>1177</v>
      </c>
      <c r="D17">
        <v>18.630474</v>
      </c>
      <c r="E17">
        <v>8.2087990000000008</v>
      </c>
    </row>
    <row r="18" spans="1:5" x14ac:dyDescent="0.2">
      <c r="A18" t="s">
        <v>1178</v>
      </c>
      <c r="D18">
        <v>8.1273250000000008</v>
      </c>
      <c r="E18">
        <v>8.2233660000000004</v>
      </c>
    </row>
    <row r="19" spans="1:5" x14ac:dyDescent="0.2">
      <c r="A19" t="s">
        <v>1179</v>
      </c>
      <c r="D19">
        <v>0.66087543999999998</v>
      </c>
      <c r="E19">
        <v>8.2164999999999999</v>
      </c>
    </row>
    <row r="20" spans="1:5" x14ac:dyDescent="0.2">
      <c r="A20" t="s">
        <v>1180</v>
      </c>
      <c r="D20">
        <v>0</v>
      </c>
      <c r="E20">
        <v>8.2096339999999994</v>
      </c>
    </row>
    <row r="21" spans="1:5" x14ac:dyDescent="0.2">
      <c r="A21" t="s">
        <v>1181</v>
      </c>
      <c r="D21">
        <v>0</v>
      </c>
      <c r="E21">
        <v>8.1977004999999998</v>
      </c>
    </row>
    <row r="22" spans="1:5" x14ac:dyDescent="0.2">
      <c r="A22" t="s">
        <v>1182</v>
      </c>
      <c r="D22">
        <v>0</v>
      </c>
      <c r="E22">
        <v>8.2048000000000005</v>
      </c>
    </row>
    <row r="23" spans="1:5" x14ac:dyDescent="0.2">
      <c r="A23" t="s">
        <v>1183</v>
      </c>
      <c r="D23">
        <v>0</v>
      </c>
      <c r="E23">
        <v>8.6178000000000008</v>
      </c>
    </row>
    <row r="24" spans="1:5" x14ac:dyDescent="0.2">
      <c r="A24" t="s">
        <v>1184</v>
      </c>
      <c r="D24">
        <v>0</v>
      </c>
      <c r="E24">
        <v>8.4014500000000005</v>
      </c>
    </row>
    <row r="25" spans="1:5" x14ac:dyDescent="0.2">
      <c r="A25" t="s">
        <v>1185</v>
      </c>
      <c r="D25">
        <v>0</v>
      </c>
      <c r="E25">
        <v>8.1851009999999995</v>
      </c>
    </row>
    <row r="26" spans="1:5" x14ac:dyDescent="0.2">
      <c r="A26" t="s">
        <v>1186</v>
      </c>
      <c r="D26">
        <v>0</v>
      </c>
      <c r="E26">
        <v>8.3547999999999991</v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dimension ref="A1:W26"/>
  <sheetViews>
    <sheetView workbookViewId="0"/>
  </sheetViews>
  <sheetFormatPr baseColWidth="10" defaultColWidth="8.83203125" defaultRowHeight="15" x14ac:dyDescent="0.2"/>
  <sheetData>
    <row r="1" spans="1:23" x14ac:dyDescent="0.2">
      <c r="A1" t="s">
        <v>0</v>
      </c>
      <c r="D1" t="s">
        <v>1</v>
      </c>
      <c r="L1" t="s">
        <v>2</v>
      </c>
      <c r="R1" t="s">
        <v>3</v>
      </c>
      <c r="S1" s="1">
        <v>0</v>
      </c>
      <c r="T1">
        <f>S1*V1</f>
        <v>0</v>
      </c>
    </row>
    <row r="2" spans="1:23" x14ac:dyDescent="0.2">
      <c r="A2" t="s">
        <v>6</v>
      </c>
      <c r="B2" t="s">
        <v>7</v>
      </c>
      <c r="C2" t="s">
        <v>8</v>
      </c>
      <c r="D2" t="s">
        <v>9</v>
      </c>
      <c r="E2" t="s">
        <v>10</v>
      </c>
      <c r="F2" t="s">
        <v>11</v>
      </c>
      <c r="G2" t="s">
        <v>12</v>
      </c>
      <c r="H2" t="s">
        <v>13</v>
      </c>
      <c r="I2" t="s">
        <v>14</v>
      </c>
      <c r="L2" t="s">
        <v>6</v>
      </c>
      <c r="M2" t="s">
        <v>7</v>
      </c>
      <c r="N2" t="s">
        <v>8</v>
      </c>
      <c r="O2" t="s">
        <v>9</v>
      </c>
      <c r="P2" t="s">
        <v>10</v>
      </c>
      <c r="Q2" t="s">
        <v>11</v>
      </c>
      <c r="R2" t="s">
        <v>12</v>
      </c>
      <c r="S2" t="s">
        <v>13</v>
      </c>
      <c r="T2" t="s">
        <v>14</v>
      </c>
    </row>
    <row r="3" spans="1:23" x14ac:dyDescent="0.2">
      <c r="A3" t="s">
        <v>1187</v>
      </c>
      <c r="D3">
        <v>0</v>
      </c>
      <c r="E3">
        <v>8.2010989999999993</v>
      </c>
    </row>
    <row r="4" spans="1:23" x14ac:dyDescent="0.2">
      <c r="A4" t="s">
        <v>1188</v>
      </c>
      <c r="D4">
        <v>0</v>
      </c>
      <c r="E4">
        <v>8.0473994999999992</v>
      </c>
    </row>
    <row r="5" spans="1:23" x14ac:dyDescent="0.2">
      <c r="A5" t="s">
        <v>1189</v>
      </c>
      <c r="D5">
        <v>0</v>
      </c>
      <c r="E5">
        <v>7.8936999999999999</v>
      </c>
    </row>
    <row r="6" spans="1:23" x14ac:dyDescent="0.2">
      <c r="A6" t="s">
        <v>1190</v>
      </c>
      <c r="D6">
        <v>0</v>
      </c>
      <c r="E6">
        <v>8.2167999999999992</v>
      </c>
      <c r="V6" t="s">
        <v>20</v>
      </c>
      <c r="W6" t="s">
        <v>853</v>
      </c>
    </row>
    <row r="7" spans="1:23" x14ac:dyDescent="0.2">
      <c r="A7" t="s">
        <v>1191</v>
      </c>
      <c r="D7">
        <v>0</v>
      </c>
      <c r="E7">
        <v>8.2350999999999992</v>
      </c>
      <c r="V7" t="s">
        <v>23</v>
      </c>
    </row>
    <row r="8" spans="1:23" x14ac:dyDescent="0.2">
      <c r="A8" t="s">
        <v>1192</v>
      </c>
      <c r="D8">
        <v>0</v>
      </c>
      <c r="E8">
        <v>8.2534010000000002</v>
      </c>
      <c r="V8" t="s">
        <v>26</v>
      </c>
      <c r="W8" t="s">
        <v>856</v>
      </c>
    </row>
    <row r="9" spans="1:23" x14ac:dyDescent="0.2">
      <c r="A9" t="s">
        <v>1193</v>
      </c>
      <c r="D9">
        <v>0</v>
      </c>
      <c r="E9">
        <v>8.2324330000000003</v>
      </c>
      <c r="V9" t="s">
        <v>28</v>
      </c>
      <c r="W9" t="e">
        <f>W8/60</f>
        <v>#VALUE!</v>
      </c>
    </row>
    <row r="10" spans="1:23" x14ac:dyDescent="0.2">
      <c r="A10" t="s">
        <v>1194</v>
      </c>
      <c r="D10">
        <v>0.14960103</v>
      </c>
      <c r="E10">
        <v>8.2114670000000007</v>
      </c>
    </row>
    <row r="11" spans="1:23" x14ac:dyDescent="0.2">
      <c r="A11" t="s">
        <v>1195</v>
      </c>
      <c r="D11">
        <v>2.0185005999999999</v>
      </c>
      <c r="E11">
        <v>8.2542000000000009</v>
      </c>
    </row>
    <row r="12" spans="1:23" x14ac:dyDescent="0.2">
      <c r="A12" t="s">
        <v>1196</v>
      </c>
      <c r="D12">
        <v>12.77675</v>
      </c>
      <c r="E12">
        <v>8.2969329999999992</v>
      </c>
    </row>
    <row r="13" spans="1:23" x14ac:dyDescent="0.2">
      <c r="A13" t="s">
        <v>1197</v>
      </c>
      <c r="D13">
        <v>27.562100000000001</v>
      </c>
      <c r="E13">
        <v>8.2565989999999996</v>
      </c>
    </row>
    <row r="14" spans="1:23" x14ac:dyDescent="0.2">
      <c r="A14" t="s">
        <v>1198</v>
      </c>
      <c r="D14">
        <v>35.394477999999999</v>
      </c>
      <c r="E14">
        <v>8.1910000000000007</v>
      </c>
    </row>
    <row r="15" spans="1:23" x14ac:dyDescent="0.2">
      <c r="A15" t="s">
        <v>1199</v>
      </c>
      <c r="D15">
        <v>36.423324999999998</v>
      </c>
      <c r="E15">
        <v>8.2248000000000001</v>
      </c>
    </row>
    <row r="16" spans="1:23" x14ac:dyDescent="0.2">
      <c r="A16" t="s">
        <v>1200</v>
      </c>
      <c r="D16">
        <v>32.656199999999998</v>
      </c>
      <c r="E16">
        <v>8.2675999999999998</v>
      </c>
    </row>
    <row r="17" spans="1:5" x14ac:dyDescent="0.2">
      <c r="A17" t="s">
        <v>1201</v>
      </c>
      <c r="D17">
        <v>20.54965</v>
      </c>
      <c r="E17">
        <v>8.2768499999999996</v>
      </c>
    </row>
    <row r="18" spans="1:5" x14ac:dyDescent="0.2">
      <c r="A18" t="s">
        <v>1202</v>
      </c>
      <c r="D18">
        <v>9.1564245</v>
      </c>
      <c r="E18">
        <v>8.2209009999999996</v>
      </c>
    </row>
    <row r="19" spans="1:5" x14ac:dyDescent="0.2">
      <c r="A19" t="s">
        <v>1203</v>
      </c>
      <c r="D19">
        <v>0.80460005999999995</v>
      </c>
      <c r="E19">
        <v>8.2079509999999996</v>
      </c>
    </row>
    <row r="20" spans="1:5" x14ac:dyDescent="0.2">
      <c r="A20" t="s">
        <v>1204</v>
      </c>
      <c r="D20">
        <v>0</v>
      </c>
      <c r="E20">
        <v>8.1950000000000003</v>
      </c>
    </row>
    <row r="21" spans="1:5" x14ac:dyDescent="0.2">
      <c r="A21" t="s">
        <v>1205</v>
      </c>
      <c r="D21">
        <v>0</v>
      </c>
      <c r="E21">
        <v>8.1820500000000003</v>
      </c>
    </row>
    <row r="22" spans="1:5" x14ac:dyDescent="0.2">
      <c r="A22" t="s">
        <v>1206</v>
      </c>
      <c r="D22">
        <v>0</v>
      </c>
      <c r="E22">
        <v>8.0959000000000003</v>
      </c>
    </row>
    <row r="23" spans="1:5" x14ac:dyDescent="0.2">
      <c r="A23" t="s">
        <v>1207</v>
      </c>
      <c r="D23">
        <v>0</v>
      </c>
      <c r="E23">
        <v>8.3879999999999999</v>
      </c>
    </row>
    <row r="24" spans="1:5" x14ac:dyDescent="0.2">
      <c r="A24" t="s">
        <v>1208</v>
      </c>
      <c r="D24">
        <v>0</v>
      </c>
      <c r="E24">
        <v>9.3884000000000007</v>
      </c>
    </row>
    <row r="25" spans="1:5" x14ac:dyDescent="0.2">
      <c r="A25" t="s">
        <v>1209</v>
      </c>
      <c r="D25">
        <v>0</v>
      </c>
      <c r="E25">
        <v>10.3888</v>
      </c>
    </row>
    <row r="26" spans="1:5" x14ac:dyDescent="0.2">
      <c r="A26" t="s">
        <v>1210</v>
      </c>
      <c r="D26">
        <v>0</v>
      </c>
      <c r="E26">
        <v>9.8741339999999997</v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dimension ref="A1:W26"/>
  <sheetViews>
    <sheetView workbookViewId="0"/>
  </sheetViews>
  <sheetFormatPr baseColWidth="10" defaultColWidth="8.83203125" defaultRowHeight="15" x14ac:dyDescent="0.2"/>
  <sheetData>
    <row r="1" spans="1:23" x14ac:dyDescent="0.2">
      <c r="A1" t="s">
        <v>0</v>
      </c>
      <c r="D1" t="s">
        <v>1</v>
      </c>
      <c r="L1" t="s">
        <v>2</v>
      </c>
      <c r="R1" t="s">
        <v>3</v>
      </c>
      <c r="S1" s="1">
        <v>0</v>
      </c>
      <c r="T1">
        <f>S1*V1</f>
        <v>0</v>
      </c>
    </row>
    <row r="2" spans="1:23" x14ac:dyDescent="0.2">
      <c r="A2" t="s">
        <v>6</v>
      </c>
      <c r="B2" t="s">
        <v>7</v>
      </c>
      <c r="C2" t="s">
        <v>8</v>
      </c>
      <c r="D2" t="s">
        <v>9</v>
      </c>
      <c r="E2" t="s">
        <v>10</v>
      </c>
      <c r="F2" t="s">
        <v>11</v>
      </c>
      <c r="G2" t="s">
        <v>12</v>
      </c>
      <c r="H2" t="s">
        <v>13</v>
      </c>
      <c r="I2" t="s">
        <v>14</v>
      </c>
      <c r="L2" t="s">
        <v>6</v>
      </c>
      <c r="M2" t="s">
        <v>7</v>
      </c>
      <c r="N2" t="s">
        <v>8</v>
      </c>
      <c r="O2" t="s">
        <v>9</v>
      </c>
      <c r="P2" t="s">
        <v>10</v>
      </c>
      <c r="Q2" t="s">
        <v>11</v>
      </c>
      <c r="R2" t="s">
        <v>12</v>
      </c>
      <c r="S2" t="s">
        <v>13</v>
      </c>
      <c r="T2" t="s">
        <v>14</v>
      </c>
    </row>
    <row r="3" spans="1:23" x14ac:dyDescent="0.2">
      <c r="A3" t="s">
        <v>1211</v>
      </c>
      <c r="D3">
        <v>0</v>
      </c>
      <c r="E3">
        <v>8.1248500000000003</v>
      </c>
    </row>
    <row r="4" spans="1:23" x14ac:dyDescent="0.2">
      <c r="A4" t="s">
        <v>1212</v>
      </c>
      <c r="D4">
        <v>0</v>
      </c>
      <c r="E4">
        <v>8.0884999999999998</v>
      </c>
    </row>
    <row r="5" spans="1:23" x14ac:dyDescent="0.2">
      <c r="A5" t="s">
        <v>1213</v>
      </c>
      <c r="D5">
        <v>0</v>
      </c>
      <c r="E5">
        <v>8.1256000000000004</v>
      </c>
    </row>
    <row r="6" spans="1:23" x14ac:dyDescent="0.2">
      <c r="A6" t="s">
        <v>1214</v>
      </c>
      <c r="D6">
        <v>0</v>
      </c>
      <c r="E6">
        <v>8.1627010000000002</v>
      </c>
      <c r="V6" t="s">
        <v>20</v>
      </c>
      <c r="W6" t="s">
        <v>853</v>
      </c>
    </row>
    <row r="7" spans="1:23" x14ac:dyDescent="0.2">
      <c r="A7" t="s">
        <v>1215</v>
      </c>
      <c r="D7">
        <v>0</v>
      </c>
      <c r="E7">
        <v>7.4247002999999996</v>
      </c>
      <c r="V7" t="s">
        <v>23</v>
      </c>
    </row>
    <row r="8" spans="1:23" x14ac:dyDescent="0.2">
      <c r="A8" t="s">
        <v>1216</v>
      </c>
      <c r="D8">
        <v>0</v>
      </c>
      <c r="E8">
        <v>6.6948999999999996</v>
      </c>
      <c r="V8" t="s">
        <v>26</v>
      </c>
      <c r="W8" t="s">
        <v>856</v>
      </c>
    </row>
    <row r="9" spans="1:23" x14ac:dyDescent="0.2">
      <c r="A9" t="s">
        <v>1217</v>
      </c>
      <c r="D9">
        <v>0</v>
      </c>
      <c r="E9">
        <v>6.6986002999999998</v>
      </c>
      <c r="V9" t="s">
        <v>28</v>
      </c>
      <c r="W9" t="e">
        <f>W8/60</f>
        <v>#VALUE!</v>
      </c>
    </row>
    <row r="10" spans="1:23" x14ac:dyDescent="0.2">
      <c r="A10" t="s">
        <v>1218</v>
      </c>
      <c r="D10">
        <v>0.11989986</v>
      </c>
      <c r="E10">
        <v>8.2377500000000001</v>
      </c>
    </row>
    <row r="11" spans="1:23" x14ac:dyDescent="0.2">
      <c r="A11" t="s">
        <v>1219</v>
      </c>
      <c r="D11">
        <v>1.1705513000000001</v>
      </c>
      <c r="E11">
        <v>8.1539000000000001</v>
      </c>
    </row>
    <row r="12" spans="1:23" x14ac:dyDescent="0.2">
      <c r="A12" t="s">
        <v>1220</v>
      </c>
      <c r="D12">
        <v>9.6590500000000006</v>
      </c>
      <c r="E12">
        <v>8.1666000000000007</v>
      </c>
    </row>
    <row r="13" spans="1:23" x14ac:dyDescent="0.2">
      <c r="A13" t="s">
        <v>1221</v>
      </c>
      <c r="D13">
        <v>27.352049999999998</v>
      </c>
      <c r="E13">
        <v>8.0791000000000004</v>
      </c>
    </row>
    <row r="14" spans="1:23" x14ac:dyDescent="0.2">
      <c r="A14" t="s">
        <v>1222</v>
      </c>
      <c r="D14">
        <v>35.320926999999998</v>
      </c>
      <c r="E14">
        <v>7.9916</v>
      </c>
    </row>
    <row r="15" spans="1:23" x14ac:dyDescent="0.2">
      <c r="A15" t="s">
        <v>1223</v>
      </c>
      <c r="D15">
        <v>34.801200000000001</v>
      </c>
      <c r="E15">
        <v>8.1334999999999997</v>
      </c>
    </row>
    <row r="16" spans="1:23" x14ac:dyDescent="0.2">
      <c r="A16" t="s">
        <v>1224</v>
      </c>
      <c r="D16">
        <v>32.841900000000003</v>
      </c>
      <c r="E16">
        <v>6.7163997000000002</v>
      </c>
    </row>
    <row r="17" spans="1:5" x14ac:dyDescent="0.2">
      <c r="A17" t="s">
        <v>1225</v>
      </c>
      <c r="D17">
        <v>20.942550000000001</v>
      </c>
      <c r="E17">
        <v>6.7172999999999998</v>
      </c>
    </row>
    <row r="18" spans="1:5" x14ac:dyDescent="0.2">
      <c r="A18" t="s">
        <v>1226</v>
      </c>
      <c r="D18">
        <v>8.6678250000000006</v>
      </c>
      <c r="E18">
        <v>6.7182000000000004</v>
      </c>
    </row>
    <row r="19" spans="1:5" x14ac:dyDescent="0.2">
      <c r="A19" t="s">
        <v>1227</v>
      </c>
      <c r="D19">
        <v>0.75600040000000002</v>
      </c>
      <c r="E19">
        <v>8.0767989999999994</v>
      </c>
    </row>
    <row r="20" spans="1:5" x14ac:dyDescent="0.2">
      <c r="A20" t="s">
        <v>1228</v>
      </c>
      <c r="D20">
        <v>0</v>
      </c>
      <c r="E20">
        <v>8.1766000000000005</v>
      </c>
    </row>
    <row r="21" spans="1:5" x14ac:dyDescent="0.2">
      <c r="A21" t="s">
        <v>1229</v>
      </c>
      <c r="D21">
        <v>0</v>
      </c>
      <c r="E21">
        <v>8.2165990000000004</v>
      </c>
    </row>
    <row r="22" spans="1:5" x14ac:dyDescent="0.2">
      <c r="A22" t="s">
        <v>1230</v>
      </c>
      <c r="D22">
        <v>0</v>
      </c>
      <c r="E22">
        <v>8.8539504999999998</v>
      </c>
    </row>
    <row r="23" spans="1:5" x14ac:dyDescent="0.2">
      <c r="A23" t="s">
        <v>1231</v>
      </c>
      <c r="D23">
        <v>0</v>
      </c>
      <c r="E23">
        <v>9.4971999999999994</v>
      </c>
    </row>
    <row r="24" spans="1:5" x14ac:dyDescent="0.2">
      <c r="A24" t="s">
        <v>1232</v>
      </c>
      <c r="D24">
        <v>0</v>
      </c>
      <c r="E24">
        <v>10.1404505</v>
      </c>
    </row>
    <row r="25" spans="1:5" x14ac:dyDescent="0.2">
      <c r="A25" t="s">
        <v>1233</v>
      </c>
      <c r="D25">
        <v>0</v>
      </c>
      <c r="E25">
        <v>9.40015</v>
      </c>
    </row>
    <row r="26" spans="1:5" x14ac:dyDescent="0.2">
      <c r="A26" t="s">
        <v>1234</v>
      </c>
      <c r="D26">
        <v>0</v>
      </c>
      <c r="E26">
        <v>8.6265000000000001</v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dimension ref="A1:W26"/>
  <sheetViews>
    <sheetView workbookViewId="0"/>
  </sheetViews>
  <sheetFormatPr baseColWidth="10" defaultColWidth="8.83203125" defaultRowHeight="15" x14ac:dyDescent="0.2"/>
  <sheetData>
    <row r="1" spans="1:23" x14ac:dyDescent="0.2">
      <c r="A1" t="s">
        <v>0</v>
      </c>
      <c r="D1" t="s">
        <v>1</v>
      </c>
      <c r="L1" t="s">
        <v>2</v>
      </c>
      <c r="R1" t="s">
        <v>3</v>
      </c>
      <c r="S1" s="1">
        <v>0</v>
      </c>
      <c r="T1">
        <f>S1*V1</f>
        <v>0</v>
      </c>
    </row>
    <row r="2" spans="1:23" x14ac:dyDescent="0.2">
      <c r="A2" t="s">
        <v>6</v>
      </c>
      <c r="B2" t="s">
        <v>7</v>
      </c>
      <c r="C2" t="s">
        <v>8</v>
      </c>
      <c r="D2" t="s">
        <v>9</v>
      </c>
      <c r="E2" t="s">
        <v>10</v>
      </c>
      <c r="F2" t="s">
        <v>11</v>
      </c>
      <c r="G2" t="s">
        <v>12</v>
      </c>
      <c r="H2" t="s">
        <v>13</v>
      </c>
      <c r="I2" t="s">
        <v>14</v>
      </c>
      <c r="L2" t="s">
        <v>6</v>
      </c>
      <c r="M2" t="s">
        <v>7</v>
      </c>
      <c r="N2" t="s">
        <v>8</v>
      </c>
      <c r="O2" t="s">
        <v>9</v>
      </c>
      <c r="P2" t="s">
        <v>10</v>
      </c>
      <c r="Q2" t="s">
        <v>11</v>
      </c>
      <c r="R2" t="s">
        <v>12</v>
      </c>
      <c r="S2" t="s">
        <v>13</v>
      </c>
      <c r="T2" t="s">
        <v>14</v>
      </c>
    </row>
    <row r="3" spans="1:23" x14ac:dyDescent="0.2">
      <c r="A3" t="s">
        <v>1235</v>
      </c>
      <c r="D3">
        <v>0</v>
      </c>
      <c r="E3">
        <v>7.8528500000000001</v>
      </c>
    </row>
    <row r="4" spans="1:23" x14ac:dyDescent="0.2">
      <c r="A4" t="s">
        <v>1236</v>
      </c>
      <c r="D4">
        <v>0</v>
      </c>
      <c r="E4">
        <v>8.1592009999999995</v>
      </c>
    </row>
    <row r="5" spans="1:23" x14ac:dyDescent="0.2">
      <c r="A5" t="s">
        <v>1237</v>
      </c>
      <c r="D5">
        <v>0</v>
      </c>
      <c r="E5">
        <v>8.4655489999999993</v>
      </c>
    </row>
    <row r="6" spans="1:23" x14ac:dyDescent="0.2">
      <c r="A6" t="s">
        <v>1238</v>
      </c>
      <c r="D6">
        <v>0</v>
      </c>
      <c r="E6">
        <v>8.2727000000000004</v>
      </c>
      <c r="V6" t="s">
        <v>20</v>
      </c>
      <c r="W6" t="s">
        <v>853</v>
      </c>
    </row>
    <row r="7" spans="1:23" x14ac:dyDescent="0.2">
      <c r="A7" t="s">
        <v>1239</v>
      </c>
      <c r="D7">
        <v>0</v>
      </c>
      <c r="E7">
        <v>8.0798500000000004</v>
      </c>
      <c r="V7" t="s">
        <v>23</v>
      </c>
    </row>
    <row r="8" spans="1:23" x14ac:dyDescent="0.2">
      <c r="A8" t="s">
        <v>1240</v>
      </c>
      <c r="D8">
        <v>0</v>
      </c>
      <c r="E8">
        <v>8.0798500000000004</v>
      </c>
      <c r="V8" t="s">
        <v>26</v>
      </c>
      <c r="W8" t="s">
        <v>856</v>
      </c>
    </row>
    <row r="9" spans="1:23" x14ac:dyDescent="0.2">
      <c r="A9" t="s">
        <v>1241</v>
      </c>
      <c r="D9">
        <v>0</v>
      </c>
      <c r="E9">
        <v>8.1087500000000006</v>
      </c>
      <c r="V9" t="s">
        <v>28</v>
      </c>
      <c r="W9" t="e">
        <f>W8/60</f>
        <v>#VALUE!</v>
      </c>
    </row>
    <row r="10" spans="1:23" x14ac:dyDescent="0.2">
      <c r="A10" t="s">
        <v>1242</v>
      </c>
      <c r="D10">
        <v>0.15335006000000001</v>
      </c>
      <c r="E10">
        <v>8.1792990000000003</v>
      </c>
    </row>
    <row r="11" spans="1:23" x14ac:dyDescent="0.2">
      <c r="A11" t="s">
        <v>1243</v>
      </c>
      <c r="D11">
        <v>1.2562749</v>
      </c>
      <c r="E11">
        <v>8.2498489999999993</v>
      </c>
    </row>
    <row r="12" spans="1:23" x14ac:dyDescent="0.2">
      <c r="A12" t="s">
        <v>1244</v>
      </c>
      <c r="D12">
        <v>12.05355</v>
      </c>
      <c r="E12">
        <v>8.1211000000000002</v>
      </c>
    </row>
    <row r="13" spans="1:23" x14ac:dyDescent="0.2">
      <c r="A13" t="s">
        <v>1245</v>
      </c>
      <c r="D13">
        <v>27.754024999999999</v>
      </c>
      <c r="E13">
        <v>8.2400490000000008</v>
      </c>
    </row>
    <row r="14" spans="1:23" x14ac:dyDescent="0.2">
      <c r="A14" t="s">
        <v>1246</v>
      </c>
      <c r="D14">
        <v>35.759974999999997</v>
      </c>
      <c r="E14">
        <v>8.1152999999999995</v>
      </c>
    </row>
    <row r="15" spans="1:23" x14ac:dyDescent="0.2">
      <c r="A15" t="s">
        <v>1247</v>
      </c>
      <c r="D15">
        <v>36.743575999999997</v>
      </c>
      <c r="E15">
        <v>8.2642989999999994</v>
      </c>
    </row>
    <row r="16" spans="1:23" x14ac:dyDescent="0.2">
      <c r="A16" t="s">
        <v>1248</v>
      </c>
      <c r="D16">
        <v>32.566574000000003</v>
      </c>
      <c r="E16">
        <v>8.1860999999999997</v>
      </c>
    </row>
    <row r="17" spans="1:5" x14ac:dyDescent="0.2">
      <c r="A17" t="s">
        <v>1249</v>
      </c>
      <c r="D17">
        <v>20.206949999999999</v>
      </c>
      <c r="E17">
        <v>8.1079000000000008</v>
      </c>
    </row>
    <row r="18" spans="1:5" x14ac:dyDescent="0.2">
      <c r="A18" t="s">
        <v>1250</v>
      </c>
      <c r="D18">
        <v>7.97065</v>
      </c>
      <c r="E18">
        <v>8.1265000000000001</v>
      </c>
    </row>
    <row r="19" spans="1:5" x14ac:dyDescent="0.2">
      <c r="A19" t="s">
        <v>1251</v>
      </c>
      <c r="D19">
        <v>0.30809910000000001</v>
      </c>
      <c r="E19">
        <v>8.1725999999999992</v>
      </c>
    </row>
    <row r="20" spans="1:5" x14ac:dyDescent="0.2">
      <c r="A20" t="s">
        <v>1252</v>
      </c>
      <c r="D20">
        <v>0</v>
      </c>
      <c r="E20">
        <v>8.2187000000000001</v>
      </c>
    </row>
    <row r="21" spans="1:5" x14ac:dyDescent="0.2">
      <c r="A21" t="s">
        <v>1253</v>
      </c>
      <c r="D21">
        <v>0</v>
      </c>
      <c r="E21">
        <v>8.5641510000000007</v>
      </c>
    </row>
    <row r="22" spans="1:5" x14ac:dyDescent="0.2">
      <c r="A22" t="s">
        <v>1254</v>
      </c>
      <c r="D22">
        <v>0</v>
      </c>
      <c r="E22">
        <v>8.909599</v>
      </c>
    </row>
    <row r="23" spans="1:5" x14ac:dyDescent="0.2">
      <c r="A23" t="s">
        <v>1255</v>
      </c>
      <c r="D23">
        <v>0</v>
      </c>
      <c r="E23">
        <v>8.7210000000000001</v>
      </c>
    </row>
    <row r="24" spans="1:5" x14ac:dyDescent="0.2">
      <c r="A24" t="s">
        <v>1256</v>
      </c>
      <c r="D24">
        <v>0</v>
      </c>
      <c r="E24">
        <v>8.5324000000000009</v>
      </c>
    </row>
    <row r="25" spans="1:5" x14ac:dyDescent="0.2">
      <c r="A25" t="s">
        <v>1257</v>
      </c>
      <c r="D25">
        <v>0</v>
      </c>
      <c r="E25">
        <v>9.9407010000000007</v>
      </c>
    </row>
    <row r="26" spans="1:5" x14ac:dyDescent="0.2">
      <c r="A26" t="s">
        <v>1258</v>
      </c>
      <c r="D26">
        <v>0</v>
      </c>
      <c r="E26">
        <v>10.081799500000001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dimension ref="A1:W26"/>
  <sheetViews>
    <sheetView workbookViewId="0"/>
  </sheetViews>
  <sheetFormatPr baseColWidth="10" defaultColWidth="8.83203125" defaultRowHeight="15" x14ac:dyDescent="0.2"/>
  <sheetData>
    <row r="1" spans="1:23" x14ac:dyDescent="0.2">
      <c r="A1" t="s">
        <v>0</v>
      </c>
      <c r="D1" t="s">
        <v>1</v>
      </c>
      <c r="L1" t="s">
        <v>2</v>
      </c>
      <c r="R1" t="s">
        <v>3</v>
      </c>
      <c r="S1" s="1">
        <v>0</v>
      </c>
      <c r="T1">
        <f>S1*V1</f>
        <v>0</v>
      </c>
    </row>
    <row r="2" spans="1:23" x14ac:dyDescent="0.2">
      <c r="A2" t="s">
        <v>6</v>
      </c>
      <c r="B2" t="s">
        <v>7</v>
      </c>
      <c r="C2" t="s">
        <v>8</v>
      </c>
      <c r="D2" t="s">
        <v>9</v>
      </c>
      <c r="E2" t="s">
        <v>10</v>
      </c>
      <c r="F2" t="s">
        <v>11</v>
      </c>
      <c r="G2" t="s">
        <v>12</v>
      </c>
      <c r="H2" t="s">
        <v>13</v>
      </c>
      <c r="I2" t="s">
        <v>14</v>
      </c>
      <c r="L2" t="s">
        <v>6</v>
      </c>
      <c r="M2" t="s">
        <v>7</v>
      </c>
      <c r="N2" t="s">
        <v>8</v>
      </c>
      <c r="O2" t="s">
        <v>9</v>
      </c>
      <c r="P2" t="s">
        <v>10</v>
      </c>
      <c r="Q2" t="s">
        <v>11</v>
      </c>
      <c r="R2" t="s">
        <v>12</v>
      </c>
      <c r="S2" t="s">
        <v>13</v>
      </c>
      <c r="T2" t="s">
        <v>14</v>
      </c>
    </row>
    <row r="3" spans="1:23" x14ac:dyDescent="0.2">
      <c r="A3" t="s">
        <v>1259</v>
      </c>
      <c r="D3">
        <v>0</v>
      </c>
      <c r="E3">
        <v>10.08245</v>
      </c>
    </row>
    <row r="4" spans="1:23" x14ac:dyDescent="0.2">
      <c r="A4" t="s">
        <v>1260</v>
      </c>
      <c r="D4">
        <v>0</v>
      </c>
      <c r="E4">
        <v>10.7026</v>
      </c>
    </row>
    <row r="5" spans="1:23" x14ac:dyDescent="0.2">
      <c r="A5" t="s">
        <v>1261</v>
      </c>
      <c r="D5">
        <v>0</v>
      </c>
      <c r="E5">
        <v>11.322749999999999</v>
      </c>
    </row>
    <row r="6" spans="1:23" x14ac:dyDescent="0.2">
      <c r="A6" t="s">
        <v>1262</v>
      </c>
      <c r="D6">
        <v>0</v>
      </c>
      <c r="E6">
        <v>8.2722010000000008</v>
      </c>
      <c r="V6" t="s">
        <v>20</v>
      </c>
      <c r="W6" t="s">
        <v>853</v>
      </c>
    </row>
    <row r="7" spans="1:23" x14ac:dyDescent="0.2">
      <c r="A7" t="s">
        <v>1263</v>
      </c>
      <c r="D7">
        <v>0</v>
      </c>
      <c r="E7">
        <v>8.1523000000000003</v>
      </c>
      <c r="V7" t="s">
        <v>23</v>
      </c>
    </row>
    <row r="8" spans="1:23" x14ac:dyDescent="0.2">
      <c r="A8" t="s">
        <v>1264</v>
      </c>
      <c r="D8">
        <v>0</v>
      </c>
      <c r="E8">
        <v>8.0324000000000009</v>
      </c>
      <c r="V8" t="s">
        <v>26</v>
      </c>
      <c r="W8" t="s">
        <v>856</v>
      </c>
    </row>
    <row r="9" spans="1:23" x14ac:dyDescent="0.2">
      <c r="A9" t="s">
        <v>1265</v>
      </c>
      <c r="D9">
        <v>0</v>
      </c>
      <c r="E9">
        <v>6.7286999999999999</v>
      </c>
      <c r="V9" t="s">
        <v>28</v>
      </c>
      <c r="W9" t="e">
        <f>W8/60</f>
        <v>#VALUE!</v>
      </c>
    </row>
    <row r="10" spans="1:23" x14ac:dyDescent="0.2">
      <c r="A10" t="s">
        <v>1266</v>
      </c>
      <c r="D10">
        <v>0.25014985000000001</v>
      </c>
      <c r="E10">
        <v>8.0924999999999994</v>
      </c>
    </row>
    <row r="11" spans="1:23" x14ac:dyDescent="0.2">
      <c r="A11" t="s">
        <v>1267</v>
      </c>
      <c r="D11">
        <v>2.2312504999999998</v>
      </c>
      <c r="E11">
        <v>8.2600990000000003</v>
      </c>
    </row>
    <row r="12" spans="1:23" x14ac:dyDescent="0.2">
      <c r="A12" t="s">
        <v>1268</v>
      </c>
      <c r="D12">
        <v>10.817724</v>
      </c>
      <c r="E12">
        <v>8.1514000000000006</v>
      </c>
    </row>
    <row r="13" spans="1:23" x14ac:dyDescent="0.2">
      <c r="A13" t="s">
        <v>1269</v>
      </c>
      <c r="D13">
        <v>25.367775000000002</v>
      </c>
      <c r="E13">
        <v>8.2350999999999992</v>
      </c>
    </row>
    <row r="14" spans="1:23" x14ac:dyDescent="0.2">
      <c r="A14" t="s">
        <v>1270</v>
      </c>
      <c r="D14">
        <v>31.331223999999999</v>
      </c>
      <c r="E14">
        <v>8.3187999999999995</v>
      </c>
    </row>
    <row r="15" spans="1:23" x14ac:dyDescent="0.2">
      <c r="A15" t="s">
        <v>1271</v>
      </c>
      <c r="D15">
        <v>32.560049999999997</v>
      </c>
      <c r="E15">
        <v>8.1053505000000001</v>
      </c>
    </row>
    <row r="16" spans="1:23" x14ac:dyDescent="0.2">
      <c r="A16" t="s">
        <v>1272</v>
      </c>
      <c r="D16">
        <v>32.896324</v>
      </c>
      <c r="E16">
        <v>7.9798999999999998</v>
      </c>
    </row>
    <row r="17" spans="1:5" x14ac:dyDescent="0.2">
      <c r="A17" t="s">
        <v>1273</v>
      </c>
      <c r="D17">
        <v>18.245125000000002</v>
      </c>
      <c r="E17">
        <v>8.1546000000000003</v>
      </c>
    </row>
    <row r="18" spans="1:5" x14ac:dyDescent="0.2">
      <c r="A18" t="s">
        <v>1274</v>
      </c>
      <c r="D18">
        <v>6.4936499999999997</v>
      </c>
      <c r="E18">
        <v>8.1837009999999992</v>
      </c>
    </row>
    <row r="19" spans="1:5" x14ac:dyDescent="0.2">
      <c r="A19" t="s">
        <v>1275</v>
      </c>
      <c r="D19">
        <v>0.75275046000000001</v>
      </c>
      <c r="E19">
        <v>8.1898</v>
      </c>
    </row>
    <row r="20" spans="1:5" x14ac:dyDescent="0.2">
      <c r="A20" t="s">
        <v>1276</v>
      </c>
      <c r="D20">
        <v>0</v>
      </c>
      <c r="E20">
        <v>8.1959</v>
      </c>
    </row>
    <row r="21" spans="1:5" x14ac:dyDescent="0.2">
      <c r="A21" t="s">
        <v>1277</v>
      </c>
      <c r="D21">
        <v>0</v>
      </c>
      <c r="E21">
        <v>9.8040000000000003</v>
      </c>
    </row>
    <row r="22" spans="1:5" x14ac:dyDescent="0.2">
      <c r="A22" t="s">
        <v>1278</v>
      </c>
      <c r="D22">
        <v>0</v>
      </c>
      <c r="E22">
        <v>9.8040000000000003</v>
      </c>
    </row>
    <row r="23" spans="1:5" x14ac:dyDescent="0.2">
      <c r="A23" t="s">
        <v>1279</v>
      </c>
      <c r="D23">
        <v>0</v>
      </c>
      <c r="E23">
        <v>9.8040000000000003</v>
      </c>
    </row>
    <row r="24" spans="1:5" x14ac:dyDescent="0.2">
      <c r="A24" t="s">
        <v>1280</v>
      </c>
      <c r="D24">
        <v>0</v>
      </c>
      <c r="E24">
        <v>10.783580000000001</v>
      </c>
    </row>
    <row r="25" spans="1:5" x14ac:dyDescent="0.2">
      <c r="A25" t="s">
        <v>1281</v>
      </c>
      <c r="D25">
        <v>0</v>
      </c>
      <c r="E25">
        <v>11.763159999999999</v>
      </c>
    </row>
    <row r="26" spans="1:5" x14ac:dyDescent="0.2">
      <c r="A26" t="s">
        <v>1282</v>
      </c>
      <c r="D26">
        <v>0</v>
      </c>
      <c r="E26">
        <v>11.3453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dimension ref="A1:W20"/>
  <sheetViews>
    <sheetView workbookViewId="0"/>
  </sheetViews>
  <sheetFormatPr baseColWidth="10" defaultColWidth="8.83203125" defaultRowHeight="15" x14ac:dyDescent="0.2"/>
  <sheetData>
    <row r="1" spans="1:23" x14ac:dyDescent="0.2">
      <c r="A1" t="s">
        <v>0</v>
      </c>
      <c r="D1" t="s">
        <v>1</v>
      </c>
      <c r="L1" t="s">
        <v>2</v>
      </c>
      <c r="R1" t="s">
        <v>3</v>
      </c>
      <c r="S1" s="1">
        <v>0</v>
      </c>
      <c r="T1">
        <f>S1*V1</f>
        <v>0</v>
      </c>
    </row>
    <row r="2" spans="1:23" x14ac:dyDescent="0.2">
      <c r="A2" t="s">
        <v>6</v>
      </c>
      <c r="B2" t="s">
        <v>7</v>
      </c>
      <c r="C2" t="s">
        <v>8</v>
      </c>
      <c r="D2" t="s">
        <v>9</v>
      </c>
      <c r="E2" t="s">
        <v>10</v>
      </c>
      <c r="F2" t="s">
        <v>11</v>
      </c>
      <c r="G2" t="s">
        <v>12</v>
      </c>
      <c r="H2" t="s">
        <v>13</v>
      </c>
      <c r="I2" t="s">
        <v>14</v>
      </c>
      <c r="L2" t="s">
        <v>6</v>
      </c>
      <c r="M2" t="s">
        <v>7</v>
      </c>
      <c r="N2" t="s">
        <v>8</v>
      </c>
      <c r="O2" t="s">
        <v>9</v>
      </c>
      <c r="P2" t="s">
        <v>10</v>
      </c>
      <c r="Q2" t="s">
        <v>11</v>
      </c>
      <c r="R2" t="s">
        <v>12</v>
      </c>
      <c r="S2" t="s">
        <v>13</v>
      </c>
      <c r="T2" t="s">
        <v>14</v>
      </c>
    </row>
    <row r="3" spans="1:23" x14ac:dyDescent="0.2">
      <c r="A3" t="s">
        <v>1283</v>
      </c>
      <c r="D3">
        <v>0</v>
      </c>
      <c r="E3">
        <v>11.25005</v>
      </c>
    </row>
    <row r="4" spans="1:23" x14ac:dyDescent="0.2">
      <c r="A4" t="s">
        <v>1284</v>
      </c>
      <c r="D4">
        <v>0</v>
      </c>
      <c r="E4">
        <v>11.32915</v>
      </c>
    </row>
    <row r="5" spans="1:23" x14ac:dyDescent="0.2">
      <c r="A5" t="s">
        <v>1285</v>
      </c>
      <c r="D5">
        <v>0</v>
      </c>
      <c r="E5">
        <v>11.408250000000001</v>
      </c>
    </row>
    <row r="6" spans="1:23" x14ac:dyDescent="0.2">
      <c r="A6" t="s">
        <v>1286</v>
      </c>
      <c r="D6">
        <v>0</v>
      </c>
      <c r="E6">
        <v>8.4385999999999992</v>
      </c>
      <c r="V6" t="s">
        <v>20</v>
      </c>
      <c r="W6" t="s">
        <v>853</v>
      </c>
    </row>
    <row r="7" spans="1:23" x14ac:dyDescent="0.2">
      <c r="A7" t="s">
        <v>1287</v>
      </c>
      <c r="D7">
        <v>0</v>
      </c>
      <c r="E7">
        <v>8.4385999999999992</v>
      </c>
      <c r="V7" t="s">
        <v>23</v>
      </c>
    </row>
    <row r="8" spans="1:23" x14ac:dyDescent="0.2">
      <c r="A8" t="s">
        <v>1288</v>
      </c>
      <c r="D8">
        <v>0</v>
      </c>
      <c r="E8">
        <v>8.4385999999999992</v>
      </c>
      <c r="V8" t="s">
        <v>26</v>
      </c>
      <c r="W8" t="s">
        <v>856</v>
      </c>
    </row>
    <row r="9" spans="1:23" x14ac:dyDescent="0.2">
      <c r="A9" t="s">
        <v>1289</v>
      </c>
      <c r="D9">
        <v>0</v>
      </c>
      <c r="E9">
        <v>8.1831999999999994</v>
      </c>
      <c r="V9" t="s">
        <v>28</v>
      </c>
      <c r="W9" t="e">
        <f>W8/60</f>
        <v>#VALUE!</v>
      </c>
    </row>
    <row r="10" spans="1:23" x14ac:dyDescent="0.2">
      <c r="A10" t="s">
        <v>1290</v>
      </c>
      <c r="D10">
        <v>0.12934908000000001</v>
      </c>
      <c r="E10">
        <v>7.9277996999999996</v>
      </c>
    </row>
    <row r="11" spans="1:23" x14ac:dyDescent="0.2">
      <c r="A11" t="s">
        <v>1291</v>
      </c>
      <c r="D11">
        <v>1.0176996</v>
      </c>
      <c r="E11">
        <v>8.1655999999999995</v>
      </c>
    </row>
    <row r="12" spans="1:23" x14ac:dyDescent="0.2">
      <c r="A12" t="s">
        <v>1292</v>
      </c>
      <c r="D12">
        <v>6.7762500000000001</v>
      </c>
      <c r="E12">
        <v>8.2283000000000008</v>
      </c>
    </row>
    <row r="13" spans="1:23" x14ac:dyDescent="0.2">
      <c r="A13" t="s">
        <v>1293</v>
      </c>
      <c r="D13">
        <v>19.796424999999999</v>
      </c>
      <c r="E13">
        <v>8.2910000000000004</v>
      </c>
    </row>
    <row r="14" spans="1:23" x14ac:dyDescent="0.2">
      <c r="A14" t="s">
        <v>1294</v>
      </c>
      <c r="D14">
        <v>25.999400999999999</v>
      </c>
      <c r="E14">
        <v>8.0813000000000006</v>
      </c>
    </row>
    <row r="15" spans="1:23" x14ac:dyDescent="0.2">
      <c r="A15" t="s">
        <v>1295</v>
      </c>
      <c r="D15">
        <v>27.409426</v>
      </c>
      <c r="E15">
        <v>7.8715999999999999</v>
      </c>
    </row>
    <row r="16" spans="1:23" x14ac:dyDescent="0.2">
      <c r="A16" t="s">
        <v>1296</v>
      </c>
      <c r="D16">
        <v>24.48115</v>
      </c>
      <c r="E16">
        <v>7.1963670000000004</v>
      </c>
    </row>
    <row r="17" spans="1:5" x14ac:dyDescent="0.2">
      <c r="A17" t="s">
        <v>1297</v>
      </c>
      <c r="D17">
        <v>11.706849999999999</v>
      </c>
      <c r="E17">
        <v>8.1307500000000008</v>
      </c>
    </row>
    <row r="18" spans="1:5" x14ac:dyDescent="0.2">
      <c r="A18" t="s">
        <v>1298</v>
      </c>
      <c r="D18">
        <v>6.2523502999999998</v>
      </c>
      <c r="E18">
        <v>8.1307500000000008</v>
      </c>
    </row>
    <row r="19" spans="1:5" x14ac:dyDescent="0.2">
      <c r="A19" t="s">
        <v>1299</v>
      </c>
      <c r="D19">
        <v>0.73342525999999997</v>
      </c>
      <c r="E19">
        <v>8.4916</v>
      </c>
    </row>
    <row r="20" spans="1:5" x14ac:dyDescent="0.2">
      <c r="A20" t="s">
        <v>1300</v>
      </c>
      <c r="D20">
        <v>0</v>
      </c>
      <c r="E20">
        <v>8.8524499999999993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Fogli di lavoro</vt:lpstr>
      </vt:variant>
      <vt:variant>
        <vt:i4>56</vt:i4>
      </vt:variant>
    </vt:vector>
  </HeadingPairs>
  <TitlesOfParts>
    <vt:vector size="56" baseType="lpstr">
      <vt:lpstr>2023-08-21</vt:lpstr>
      <vt:lpstr>2023-08-22</vt:lpstr>
      <vt:lpstr>2023-08-23</vt:lpstr>
      <vt:lpstr>2023-08-24</vt:lpstr>
      <vt:lpstr>2023-08-25</vt:lpstr>
      <vt:lpstr>2023-08-26</vt:lpstr>
      <vt:lpstr>2023-08-27</vt:lpstr>
      <vt:lpstr>2023-08-28</vt:lpstr>
      <vt:lpstr>2023-08-29</vt:lpstr>
      <vt:lpstr>2023-08-30</vt:lpstr>
      <vt:lpstr>2023-08-31</vt:lpstr>
      <vt:lpstr>2023-09-21</vt:lpstr>
      <vt:lpstr>2023-09-22</vt:lpstr>
      <vt:lpstr>2023-09-23</vt:lpstr>
      <vt:lpstr>2023-09-24</vt:lpstr>
      <vt:lpstr>2023-09-25</vt:lpstr>
      <vt:lpstr>2023-09-26</vt:lpstr>
      <vt:lpstr>2023-09-27</vt:lpstr>
      <vt:lpstr>Foglio1</vt:lpstr>
      <vt:lpstr>Foglio2</vt:lpstr>
      <vt:lpstr>Foglio3</vt:lpstr>
      <vt:lpstr>Foglio4</vt:lpstr>
      <vt:lpstr>2023-09-28</vt:lpstr>
      <vt:lpstr>2023-09-29</vt:lpstr>
      <vt:lpstr>2023-09-30</vt:lpstr>
      <vt:lpstr>2023-10-21</vt:lpstr>
      <vt:lpstr>2023-10-22</vt:lpstr>
      <vt:lpstr>2023-10-23</vt:lpstr>
      <vt:lpstr>2023-10-24</vt:lpstr>
      <vt:lpstr>2023-10-25</vt:lpstr>
      <vt:lpstr>2023-10-26</vt:lpstr>
      <vt:lpstr>2023-10-27</vt:lpstr>
      <vt:lpstr>2023-10-28</vt:lpstr>
      <vt:lpstr>2023-10-29</vt:lpstr>
      <vt:lpstr>2023-10-30</vt:lpstr>
      <vt:lpstr>2023-10-31</vt:lpstr>
      <vt:lpstr>2023-11-21</vt:lpstr>
      <vt:lpstr>2023-11-22</vt:lpstr>
      <vt:lpstr>2023-11-23</vt:lpstr>
      <vt:lpstr>2023-11-24</vt:lpstr>
      <vt:lpstr>2023-11-25</vt:lpstr>
      <vt:lpstr>2023-11-26</vt:lpstr>
      <vt:lpstr>2023-11-27</vt:lpstr>
      <vt:lpstr>2023-11-28</vt:lpstr>
      <vt:lpstr>2023-11-29</vt:lpstr>
      <vt:lpstr>2023-11-30</vt:lpstr>
      <vt:lpstr>2023-12-21</vt:lpstr>
      <vt:lpstr>2023-12-22</vt:lpstr>
      <vt:lpstr>2023-12-23</vt:lpstr>
      <vt:lpstr>2023-12-24</vt:lpstr>
      <vt:lpstr>2023-12-25</vt:lpstr>
      <vt:lpstr>2023-12-26</vt:lpstr>
      <vt:lpstr>2023-12-27</vt:lpstr>
      <vt:lpstr>2023-12-28</vt:lpstr>
      <vt:lpstr>2023-12-29</vt:lpstr>
      <vt:lpstr>2023-12-30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Kristian Reale</cp:lastModifiedBy>
  <dcterms:created xsi:type="dcterms:W3CDTF">2025-11-27T14:38:00Z</dcterms:created>
  <dcterms:modified xsi:type="dcterms:W3CDTF">2025-11-27T15:53:11Z</dcterms:modified>
</cp:coreProperties>
</file>
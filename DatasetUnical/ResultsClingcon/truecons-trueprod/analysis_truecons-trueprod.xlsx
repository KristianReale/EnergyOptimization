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Unical/ResultsClingcon/truecons-trueprod/"/>
    </mc:Choice>
  </mc:AlternateContent>
  <xr:revisionPtr revIDLastSave="0" documentId="13_ncr:1_{F898CA23-6AC3-0049-A5A7-45AA228C8EE4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2023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T3" i="1"/>
  <c r="S3" i="1" s="1"/>
  <c r="T4" i="1" l="1"/>
  <c r="T5" i="1" l="1"/>
  <c r="S4" i="1"/>
  <c r="T6" i="1" l="1"/>
  <c r="S5" i="1"/>
  <c r="S6" i="1" l="1"/>
  <c r="T7" i="1"/>
  <c r="S7" i="1" l="1"/>
  <c r="T8" i="1"/>
  <c r="S8" i="1" l="1"/>
  <c r="T9" i="1"/>
  <c r="T10" i="1" l="1"/>
  <c r="S9" i="1"/>
  <c r="S10" i="1" l="1"/>
  <c r="T11" i="1"/>
  <c r="T12" i="1" l="1"/>
  <c r="S11" i="1"/>
  <c r="S12" i="1" l="1"/>
  <c r="T13" i="1"/>
  <c r="T14" i="1" l="1"/>
  <c r="S13" i="1"/>
  <c r="T15" i="1" l="1"/>
  <c r="S14" i="1"/>
  <c r="T16" i="1" l="1"/>
  <c r="S15" i="1"/>
  <c r="T17" i="1" l="1"/>
  <c r="S16" i="1"/>
  <c r="T18" i="1" l="1"/>
  <c r="S17" i="1"/>
  <c r="S18" i="1" l="1"/>
  <c r="T19" i="1"/>
  <c r="T20" i="1" l="1"/>
  <c r="S19" i="1"/>
  <c r="S20" i="1" l="1"/>
  <c r="T21" i="1"/>
  <c r="T22" i="1" l="1"/>
  <c r="S21" i="1"/>
  <c r="S22" i="1" l="1"/>
  <c r="T23" i="1"/>
  <c r="S23" i="1" l="1"/>
  <c r="T24" i="1"/>
  <c r="T25" i="1" l="1"/>
  <c r="S24" i="1"/>
  <c r="T26" i="1" l="1"/>
  <c r="S26" i="1" s="1"/>
  <c r="S25" i="1"/>
</calcChain>
</file>

<file path=xl/sharedStrings.xml><?xml version="1.0" encoding="utf-8"?>
<sst xmlns="http://schemas.openxmlformats.org/spreadsheetml/2006/main" count="81" uniqueCount="48">
  <si>
    <t>Original Dataset</t>
  </si>
  <si>
    <t>Analysis: truecons-trueprod</t>
  </si>
  <si>
    <t>ASP Solution</t>
  </si>
  <si>
    <t>Init Charge (%):</t>
  </si>
  <si>
    <t>Max Charge:</t>
  </si>
  <si>
    <t>Minimum storage Level</t>
  </si>
  <si>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</si>
  <si>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</si>
  <si>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</si>
  <si>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</si>
  <si>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</si>
  <si>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</si>
  <si>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</si>
  <si>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</si>
  <si>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</si>
  <si>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Maximum storage Level</t>
  </si>
  <si>
    <t>2023-08-21 0:00:00</t>
  </si>
  <si>
    <t>Maximum Power (both Charge and Discharge)</t>
  </si>
  <si>
    <t>18kWh</t>
  </si>
  <si>
    <t>2023-08-21 1:00:00</t>
  </si>
  <si>
    <t>2023-08-21 2:00:00</t>
  </si>
  <si>
    <t>2023-08-21 3:00:00</t>
  </si>
  <si>
    <t xml:space="preserve">Is Optimal: </t>
  </si>
  <si>
    <t>NOT KNOWN</t>
  </si>
  <si>
    <t>2023-08-21 4:00:00</t>
  </si>
  <si>
    <t xml:space="preserve">Last Answer Set Number: </t>
  </si>
  <si>
    <t xml:space="preserve"> 1 (Time: 0.008s)
vFinalCharge(1000) vE_SinitPercentage(2000) vCharge("2023-08-21","0:00:00",0) vCharge("2023-08-21","10:00:00",0) vCharge("2023-08-21","11:00:00",0) vCharge("2023-08-21","12:00:00",0) vCharge("2023-08-21","13:00:00",0) vCharge("2023-08-21","14:00:00",0) vCharge("2023-08-21","15:00:00",0) vCharge("2023-08-21","16:00:00",0) vCharge("2023-08-21","17:00:00",0) vCharge("2023-08-21","18:00:00",0) vCharge("2023-08-21","19:00:00",0) vCharge("2023-08-21","1:00:00",0) vCharge("2023-08-21","20:00:00",0) vCharge("2023-08-21","21:00:00",0) vCharge("2023-08-21","22:00:00",0) vCharge("2023-08-21","23:00:00",0) vCharge("2023-08-21","2:00:00",0) vCharge("2023-08-21","3:00:00",0) vCharge("2023-08-21","4:00:00",0) vCharge("2023-08-21","5:00:00",0) vCharge("2023-08-21","6:00:00",0) vCharge("2023-08-21","7:00:00",0) vCharge("2023-08-21","8:00:00",0) vCharge("2023-08-21","9:00:00",0) vDischarge("2023-08-21","0:00:00",2098) vDischarge("2023-08-21","10:00:00",0) vDischarge("2023-08-21","11:00:00",0) vDischarge("2023-08-21","12:00:00",0) vDischarge("2023-08-21","13:00:00",0) vDischarge("2023-08-21","14:00:00",0) vDischarge("2023-08-21","15:00:00",0) vDischarge("2023-08-21","16:00:00",0) vDischarge("2023-08-21","17:00:00",0) vDischarge("2023-08-21","18:00:00",0) vDischarge("2023-08-21","19:00:00",0) vDischarge("2023-08-21","1:00:00",1902) vDischarge("2023-08-21","20:00:00",0) vDischarge("2023-08-21","21:00:00",0) vDischarge("2023-08-21","22:00:00",0) vDischarge("2023-08-21","23:00:00",0) vDischarge("2023-08-21","2:00:00",0) vDischarge("2023-08-21","3:00:00",0) vDischarge("2023-08-21","4:00:00",0) vDischarge("2023-08-21","5:00:00",0) vDischarge("2023-08-21","6:00:00",0) vDischarge("2023-08-21","7:00:00",0) vDischarge("2023-08-21","8:00:00",0) vDischarge("2023-08-21","9:00:00",0) vFeed_in("2023-08-21","0:00:00",0) vFeed_in("2023-08-21","10:00:00",0) vFeed_in("2023-08-21","11:00:00",0) vFeed_in("2023-08-21","12:00:00",0) vFeed_in("2023-08-21","13:00:00",0) vFeed_in("2023-08-21","14:00:00",0) vFeed_in("2023-08-21","15:00:00",0) vFeed_in("2023-08-21","16:00:00",0) vFeed_in("2023-08-21","17:00:00",0) vFeed_in("2023-08-21","18:00:00",0) vFeed_in("2023-08-21","19:00:00",0) vFeed_in("2023-08-21","1:00:00",0) vFeed_in("2023-08-21","20:00:00",0) vFeed_in("2023-08-21","21:00:00",0) vFeed_in("2023-08-21","22:00:00",0) vFeed_in("2023-08-21","23:00:00",0) vFeed_in("2023-08-21","2:00:00",0) vFeed_in("2023-08-21","3:00:00",0) vFeed_in("2023-08-21","4:00:00",0) vFeed_in("2023-08-21","5:00:00",0) vFeed_in("2023-08-21","6:00:00",0) vFeed_in("2023-08-21","7:00:00",0) vFeed_in("2023-08-21","8:00:00",0) vFeed_in("2023-08-21","9:00:00",0) vFrom_grid("2023-08-21","0:00:00",0) vFrom_grid("2023-08-21","10:00:00",1420) vFrom_grid("2023-08-21","11:00:00",1025) vFrom_grid("2023-08-21","12:00:00",873) vFrom_grid("2023-08-21","13:00:00",1174) vFrom_grid("2023-08-21","14:00:00",1876) vFrom_grid("2023-08-21","15:00:00",2066) vFrom_grid("2023-08-21","16:00:00",2270) vFrom_grid("2023-08-21","17:00:00",2278) vFrom_grid("2023-08-21","18:00:00",2340) vFrom_grid("2023-08-21","19:00:00",2205) vFrom_grid("2023-08-21","1:00:00",244) vFrom_grid("2023-08-21","20:00:00",2249) vFrom_grid("2023-08-21","21:00:00",2158) vFrom_grid("2023-08-21","22:00:00",2060) vFrom_grid("2023-08-21","23:00:00",2188) vFrom_grid("2023-08-21","2:00:00",2195) vFrom_grid("2023-08-21","3:00:00",2140) vFrom_grid("2023-08-21","4:00:00",2062) vFrom_grid("2023-08-21","5:00:00",2168) vFrom_grid("2023-08-21","6:00:00",3216) vFrom_grid("2023-08-21","7:00:00",3118) vFrom_grid("2023-08-21","8:00:00",2624) vFrom_grid("2023-08-21","9:00:00",2413) vP_L("2023-08-21","0:00:00",2098) vP_L("2023-08-21","10:00:00",2608) vP_L("2023-08-21","11:00:00",2596) vP_L("2023-08-21","12:00:00",2814) vP_L("2023-08-21","13:00:00",2366) vP_L("2023-08-21","14:00:00",2490) vP_L("2023-08-21","15:00:00",2287) vP_L("2023-08-21","16:00:00",2312) vP_L("2023-08-21","17:00:00",2278) vP_L("2023-08-21","18:00:00",2340) vP_L("2023-08-21","19:00:00",2205) vP_L("2023-08-21","1:00:00",2146) vP_L("2023-08-21","20:00:00",2249) vP_L("2023-08-21","21:00:00",2158) vP_L("2023-08-21","22:00:00",2060) vP_L("2023-08-21","23:00:00",2188) vP_L("2023-08-21","2:00:00",2195) vP_L("2023-08-21","3:00:00",2140) vP_L("2023-08-21","4:00:00",2062) vP_L("2023-08-21","5:00:00",2168) vP_L("2023-08-21","6:00:00",3216) vP_L("2023-08-21","7:00:00",3122) vP_L("2023-08-21","8:00:00",2925) vP_L("2023-08-21","9:00:00",2935) vP_PV("2023-08-21","0:00:00",0) vP_PV("2023-08-21","10:00:00",1188) vP_PV("2023-08-21","11:00:00",1571) vP_PV("2023-08-21","12:00:00",1941) vP_PV("2023-08-21","13:00:00",1192) vP_PV("2023-08-21","14:00:00",614) vP_PV("2023-08-21","15:00:00",221) vP_PV("2023-08-21","16:00:00",42) vP_PV("2023-08-21","17:00:00",0) vP_PV("2023-08-21","18:00:00",0) vP_PV("2023-08-21","19:00:00",0) vP_PV("2023-08-21","1:00:00",0) vP_PV("2023-08-21","20:00:00",0) vP_PV("2023-08-21","21:00:00",0) vP_PV("2023-08-21","22:00:00",0) vP_PV("2023-08-21","23:00:00",0) vP_PV("2023-08-21","2:00:00",0) vP_PV("2023-08-21","3:00:00",0) vP_PV("2023-08-21","4:00:00",0) vP_PV("2023-08-21","5:00:00",0) vP_PV("2023-08-21","6:00:00",0) vP_PV("2023-08-21","7:00:00",4) vP_PV("2023-08-21","8:00:00",301) vP_PV("2023-08-21","9:00:00",522)
Assignment:
</t>
  </si>
  <si>
    <t>2023-08-21 5:00:00</t>
  </si>
  <si>
    <t xml:space="preserve">Time Last Answer (seconds): </t>
  </si>
  <si>
    <t>2023-08-21 6:00:00</t>
  </si>
  <si>
    <t xml:space="preserve">Time Last Answer (minutes): </t>
  </si>
  <si>
    <t>2023-08-21 7:00:00</t>
  </si>
  <si>
    <t>2023-08-21 8:00:00</t>
  </si>
  <si>
    <t>2023-08-21 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</si>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</sst>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tabSelected="1" workbookViewId="0">
      <selection activeCell="V1" sqref="V1"/>
    </sheetView>
  </sheetViews>
  <sheetFormatPr baseColWidth="10" defaultColWidth="8.83203125" defaultRowHeight="15" x14ac:dyDescent="0.2"/>
  <sheetData>
    <row r="1" spans="1:24" x14ac:dyDescent="0.2">
      <c r="A1" t="s">
        <v>0</v>
      </c>
      <c r="D1" t="s">
        <v>1</v>
      </c>
      <c r="L1" t="s">
        <v>2</v>
      </c>
      <c r="R1" t="s">
        <v>3</v>
      </c>
      <c r="S1" s="1">
        <v>1</v>
      </c>
      <c r="T1">
        <v>50</v>
      </c>
      <c r="U1" t="s">
        <v>4</v>
      </c>
      <c r="V1">
        <v>50</v>
      </c>
      <c r="W1" t="s">
        <v>5</v>
      </c>
      <c r="X1" s="1">
        <v>0.1</v>
      </c>
    </row>
    <row r="2" spans="1:2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W2" t="s">
        <v>15</v>
      </c>
      <c r="X2" s="1">
        <v>1</v>
      </c>
    </row>
    <row r="3" spans="1:24" x14ac:dyDescent="0.2">
      <c r="A3" t="s">
        <v>16</v>
      </c>
      <c r="D3">
        <v>0</v>
      </c>
      <c r="E3">
        <v>6.4</v>
      </c>
      <c r="L3" t="s">
        <v>16</v>
      </c>
      <c r="M3">
        <v>20.98</v>
      </c>
      <c r="N3">
        <v>0</v>
      </c>
      <c r="O3">
        <v>0</v>
      </c>
      <c r="P3">
        <v>20.98</v>
      </c>
      <c r="Q3">
        <v>0</v>
      </c>
      <c r="R3">
        <v>0</v>
      </c>
      <c r="S3" s="1">
        <f t="shared" ref="S3:S26" si="0">T3/V$1</f>
        <v>0.58040000000000003</v>
      </c>
      <c r="T3" s="2">
        <f>T1-M3+N3</f>
        <v>29.02</v>
      </c>
      <c r="W3" t="s">
        <v>17</v>
      </c>
      <c r="X3" t="s">
        <v>18</v>
      </c>
    </row>
    <row r="4" spans="1:24" x14ac:dyDescent="0.2">
      <c r="A4" t="s">
        <v>19</v>
      </c>
      <c r="D4">
        <v>0</v>
      </c>
      <c r="E4">
        <v>6.67</v>
      </c>
      <c r="L4" t="s">
        <v>19</v>
      </c>
      <c r="M4">
        <v>19.02</v>
      </c>
      <c r="N4">
        <v>0</v>
      </c>
      <c r="O4">
        <v>0</v>
      </c>
      <c r="P4">
        <v>21.46</v>
      </c>
      <c r="Q4">
        <v>0</v>
      </c>
      <c r="R4">
        <v>2.44</v>
      </c>
      <c r="S4" s="1">
        <f t="shared" si="0"/>
        <v>0.2</v>
      </c>
      <c r="T4" s="2">
        <f t="shared" ref="T4:T26" si="1">T3-M4+N4</f>
        <v>10</v>
      </c>
    </row>
    <row r="5" spans="1:24" x14ac:dyDescent="0.2">
      <c r="A5" t="s">
        <v>20</v>
      </c>
      <c r="D5">
        <v>0</v>
      </c>
      <c r="E5">
        <v>6.82</v>
      </c>
      <c r="L5" t="s">
        <v>20</v>
      </c>
      <c r="M5">
        <v>0</v>
      </c>
      <c r="N5">
        <v>0</v>
      </c>
      <c r="O5">
        <v>0</v>
      </c>
      <c r="P5">
        <v>21.95</v>
      </c>
      <c r="Q5">
        <v>0</v>
      </c>
      <c r="R5">
        <v>21.95</v>
      </c>
      <c r="S5" s="1">
        <f t="shared" si="0"/>
        <v>0.2</v>
      </c>
      <c r="T5" s="2">
        <f t="shared" si="1"/>
        <v>10</v>
      </c>
    </row>
    <row r="6" spans="1:24" x14ac:dyDescent="0.2">
      <c r="A6" t="s">
        <v>21</v>
      </c>
      <c r="D6">
        <v>0</v>
      </c>
      <c r="E6">
        <v>6.9</v>
      </c>
      <c r="L6" t="s">
        <v>21</v>
      </c>
      <c r="M6">
        <v>0</v>
      </c>
      <c r="N6">
        <v>0</v>
      </c>
      <c r="O6">
        <v>0</v>
      </c>
      <c r="P6">
        <v>21.4</v>
      </c>
      <c r="Q6">
        <v>0</v>
      </c>
      <c r="R6">
        <v>21.4</v>
      </c>
      <c r="S6" s="1">
        <f t="shared" si="0"/>
        <v>0.2</v>
      </c>
      <c r="T6" s="2">
        <f t="shared" si="1"/>
        <v>10</v>
      </c>
      <c r="V6" t="s">
        <v>22</v>
      </c>
      <c r="W6" t="s">
        <v>23</v>
      </c>
    </row>
    <row r="7" spans="1:24" x14ac:dyDescent="0.2">
      <c r="A7" t="s">
        <v>24</v>
      </c>
      <c r="D7">
        <v>0</v>
      </c>
      <c r="E7">
        <v>6.7</v>
      </c>
      <c r="L7" t="s">
        <v>24</v>
      </c>
      <c r="M7">
        <v>0</v>
      </c>
      <c r="N7">
        <v>0</v>
      </c>
      <c r="O7">
        <v>0</v>
      </c>
      <c r="P7">
        <v>20.62</v>
      </c>
      <c r="Q7">
        <v>0</v>
      </c>
      <c r="R7">
        <v>20.62</v>
      </c>
      <c r="S7" s="1">
        <f t="shared" si="0"/>
        <v>0.2</v>
      </c>
      <c r="T7" s="2">
        <f t="shared" si="1"/>
        <v>10</v>
      </c>
      <c r="V7" t="s">
        <v>25</v>
      </c>
      <c r="W7" t="s">
        <v>26</v>
      </c>
    </row>
    <row r="8" spans="1:24" x14ac:dyDescent="0.2">
      <c r="A8" t="s">
        <v>27</v>
      </c>
      <c r="D8">
        <v>0</v>
      </c>
      <c r="E8">
        <v>5.5</v>
      </c>
      <c r="L8" t="s">
        <v>27</v>
      </c>
      <c r="M8">
        <v>0</v>
      </c>
      <c r="N8">
        <v>0</v>
      </c>
      <c r="O8">
        <v>0</v>
      </c>
      <c r="P8">
        <v>21.68</v>
      </c>
      <c r="Q8">
        <v>0</v>
      </c>
      <c r="R8">
        <v>21.68</v>
      </c>
      <c r="S8" s="1">
        <f t="shared" si="0"/>
        <v>0.2</v>
      </c>
      <c r="T8" s="2">
        <f t="shared" si="1"/>
        <v>10</v>
      </c>
      <c r="V8" t="s">
        <v>28</v>
      </c>
      <c r="W8">
        <v>8.0000000000000002E-3</v>
      </c>
    </row>
    <row r="9" spans="1:24" x14ac:dyDescent="0.2">
      <c r="A9" t="s">
        <v>29</v>
      </c>
      <c r="D9">
        <v>0.12</v>
      </c>
      <c r="E9">
        <v>6.67</v>
      </c>
      <c r="L9" t="s">
        <v>29</v>
      </c>
      <c r="M9">
        <v>0</v>
      </c>
      <c r="N9">
        <v>0</v>
      </c>
      <c r="O9">
        <v>0</v>
      </c>
      <c r="P9">
        <v>32.159999999999997</v>
      </c>
      <c r="Q9">
        <v>0</v>
      </c>
      <c r="R9">
        <v>32.159999999999997</v>
      </c>
      <c r="S9" s="1">
        <f t="shared" si="0"/>
        <v>0.2</v>
      </c>
      <c r="T9" s="2">
        <f t="shared" si="1"/>
        <v>10</v>
      </c>
      <c r="V9" t="s">
        <v>30</v>
      </c>
      <c r="W9">
        <f>W8/60</f>
        <v>1.3333333333333334E-4</v>
      </c>
    </row>
    <row r="10" spans="1:24" x14ac:dyDescent="0.2">
      <c r="A10" t="s">
        <v>31</v>
      </c>
      <c r="D10">
        <v>4.29</v>
      </c>
      <c r="E10">
        <v>6.33</v>
      </c>
      <c r="L10" t="s">
        <v>31</v>
      </c>
      <c r="M10">
        <v>0</v>
      </c>
      <c r="N10">
        <v>0</v>
      </c>
      <c r="O10">
        <v>0.04</v>
      </c>
      <c r="P10">
        <v>31.22</v>
      </c>
      <c r="Q10">
        <v>0</v>
      </c>
      <c r="R10">
        <v>31.18</v>
      </c>
      <c r="S10" s="1">
        <f t="shared" si="0"/>
        <v>0.2</v>
      </c>
      <c r="T10" s="2">
        <f t="shared" si="1"/>
        <v>10</v>
      </c>
    </row>
    <row r="11" spans="1:24" x14ac:dyDescent="0.2">
      <c r="A11" t="s">
        <v>32</v>
      </c>
      <c r="D11">
        <v>15.85</v>
      </c>
      <c r="E11">
        <v>8.73</v>
      </c>
      <c r="L11" t="s">
        <v>32</v>
      </c>
      <c r="M11">
        <v>0</v>
      </c>
      <c r="N11">
        <v>0</v>
      </c>
      <c r="O11">
        <v>3.01</v>
      </c>
      <c r="P11">
        <v>29.25</v>
      </c>
      <c r="Q11">
        <v>0</v>
      </c>
      <c r="R11">
        <v>26.24</v>
      </c>
      <c r="S11" s="1">
        <f t="shared" si="0"/>
        <v>0.2</v>
      </c>
      <c r="T11" s="2">
        <f t="shared" si="1"/>
        <v>10</v>
      </c>
    </row>
    <row r="12" spans="1:24" x14ac:dyDescent="0.2">
      <c r="A12" t="s">
        <v>33</v>
      </c>
      <c r="D12">
        <v>27.08</v>
      </c>
      <c r="E12">
        <v>12.94</v>
      </c>
      <c r="L12" t="s">
        <v>33</v>
      </c>
      <c r="M12">
        <v>0</v>
      </c>
      <c r="N12">
        <v>0</v>
      </c>
      <c r="O12">
        <v>5.22</v>
      </c>
      <c r="P12">
        <v>29.35</v>
      </c>
      <c r="Q12">
        <v>0</v>
      </c>
      <c r="R12">
        <v>24.13</v>
      </c>
      <c r="S12" s="1">
        <f t="shared" si="0"/>
        <v>0.2</v>
      </c>
      <c r="T12" s="2">
        <f t="shared" si="1"/>
        <v>10</v>
      </c>
    </row>
    <row r="13" spans="1:24" x14ac:dyDescent="0.2">
      <c r="A13" t="s">
        <v>34</v>
      </c>
      <c r="D13">
        <v>35.090000000000003</v>
      </c>
      <c r="E13">
        <v>10.6</v>
      </c>
      <c r="L13" t="s">
        <v>34</v>
      </c>
      <c r="M13">
        <v>0</v>
      </c>
      <c r="N13">
        <v>0</v>
      </c>
      <c r="O13">
        <v>11.88</v>
      </c>
      <c r="P13">
        <v>26.08</v>
      </c>
      <c r="Q13">
        <v>0</v>
      </c>
      <c r="R13">
        <v>14.2</v>
      </c>
      <c r="S13" s="1">
        <f t="shared" si="0"/>
        <v>0.2</v>
      </c>
      <c r="T13" s="2">
        <f t="shared" si="1"/>
        <v>10</v>
      </c>
    </row>
    <row r="14" spans="1:24" x14ac:dyDescent="0.2">
      <c r="A14" t="s">
        <v>35</v>
      </c>
      <c r="D14">
        <v>39.590000000000003</v>
      </c>
      <c r="E14">
        <v>9.7799999999999994</v>
      </c>
      <c r="L14" t="s">
        <v>35</v>
      </c>
      <c r="M14">
        <v>0</v>
      </c>
      <c r="N14">
        <v>0</v>
      </c>
      <c r="O14">
        <v>15.71</v>
      </c>
      <c r="P14">
        <v>25.96</v>
      </c>
      <c r="Q14">
        <v>0</v>
      </c>
      <c r="R14">
        <v>10.25</v>
      </c>
      <c r="S14" s="1">
        <f t="shared" si="0"/>
        <v>0.2</v>
      </c>
      <c r="T14" s="2">
        <f t="shared" si="1"/>
        <v>10</v>
      </c>
    </row>
    <row r="15" spans="1:24" x14ac:dyDescent="0.2">
      <c r="A15" t="s">
        <v>36</v>
      </c>
      <c r="D15">
        <v>43.56</v>
      </c>
      <c r="E15">
        <v>11.98</v>
      </c>
      <c r="L15" t="s">
        <v>36</v>
      </c>
      <c r="M15">
        <v>0</v>
      </c>
      <c r="N15">
        <v>0</v>
      </c>
      <c r="O15">
        <v>19.41</v>
      </c>
      <c r="P15">
        <v>28.14</v>
      </c>
      <c r="Q15">
        <v>0</v>
      </c>
      <c r="R15">
        <v>8.73</v>
      </c>
      <c r="S15" s="1">
        <f t="shared" si="0"/>
        <v>0.2</v>
      </c>
      <c r="T15" s="2">
        <f t="shared" si="1"/>
        <v>10</v>
      </c>
    </row>
    <row r="16" spans="1:24" x14ac:dyDescent="0.2">
      <c r="A16" t="s">
        <v>37</v>
      </c>
      <c r="D16">
        <v>43.41</v>
      </c>
      <c r="E16">
        <v>11.81</v>
      </c>
      <c r="L16" t="s">
        <v>37</v>
      </c>
      <c r="M16">
        <v>0</v>
      </c>
      <c r="N16">
        <v>0</v>
      </c>
      <c r="O16">
        <v>11.92</v>
      </c>
      <c r="P16">
        <v>23.66</v>
      </c>
      <c r="Q16">
        <v>0</v>
      </c>
      <c r="R16">
        <v>11.74</v>
      </c>
      <c r="S16" s="1">
        <f t="shared" si="0"/>
        <v>0.2</v>
      </c>
      <c r="T16" s="2">
        <f t="shared" si="1"/>
        <v>10</v>
      </c>
    </row>
    <row r="17" spans="1:20" x14ac:dyDescent="0.2">
      <c r="A17" t="s">
        <v>38</v>
      </c>
      <c r="D17">
        <v>41.54</v>
      </c>
      <c r="E17">
        <v>12.02</v>
      </c>
      <c r="L17" t="s">
        <v>38</v>
      </c>
      <c r="M17">
        <v>0</v>
      </c>
      <c r="N17">
        <v>0</v>
      </c>
      <c r="O17">
        <v>6.14</v>
      </c>
      <c r="P17">
        <v>24.9</v>
      </c>
      <c r="Q17">
        <v>0</v>
      </c>
      <c r="R17">
        <v>18.760000000000002</v>
      </c>
      <c r="S17" s="1">
        <f t="shared" si="0"/>
        <v>0.2</v>
      </c>
      <c r="T17" s="2">
        <f t="shared" si="1"/>
        <v>10</v>
      </c>
    </row>
    <row r="18" spans="1:20" x14ac:dyDescent="0.2">
      <c r="A18" t="s">
        <v>39</v>
      </c>
      <c r="D18">
        <v>36.44</v>
      </c>
      <c r="E18">
        <v>11.8</v>
      </c>
      <c r="L18" t="s">
        <v>39</v>
      </c>
      <c r="M18">
        <v>0</v>
      </c>
      <c r="N18">
        <v>0</v>
      </c>
      <c r="O18">
        <v>2.21</v>
      </c>
      <c r="P18">
        <v>22.87</v>
      </c>
      <c r="Q18">
        <v>0</v>
      </c>
      <c r="R18">
        <v>20.66</v>
      </c>
      <c r="S18" s="1">
        <f t="shared" si="0"/>
        <v>0.2</v>
      </c>
      <c r="T18" s="2">
        <f t="shared" si="1"/>
        <v>10</v>
      </c>
    </row>
    <row r="19" spans="1:20" x14ac:dyDescent="0.2">
      <c r="A19" t="s">
        <v>40</v>
      </c>
      <c r="D19">
        <v>27.3</v>
      </c>
      <c r="E19">
        <v>11.96</v>
      </c>
      <c r="L19" t="s">
        <v>40</v>
      </c>
      <c r="M19">
        <v>0</v>
      </c>
      <c r="N19">
        <v>0</v>
      </c>
      <c r="O19">
        <v>0.42</v>
      </c>
      <c r="P19">
        <v>23.12</v>
      </c>
      <c r="Q19">
        <v>0</v>
      </c>
      <c r="R19">
        <v>22.7</v>
      </c>
      <c r="S19" s="1">
        <f t="shared" si="0"/>
        <v>0.2</v>
      </c>
      <c r="T19" s="2">
        <f t="shared" si="1"/>
        <v>10</v>
      </c>
    </row>
    <row r="20" spans="1:20" x14ac:dyDescent="0.2">
      <c r="A20" t="s">
        <v>41</v>
      </c>
      <c r="D20">
        <v>5.13</v>
      </c>
      <c r="E20">
        <v>9.5399999999999991</v>
      </c>
      <c r="L20" t="s">
        <v>41</v>
      </c>
      <c r="M20">
        <v>0</v>
      </c>
      <c r="N20">
        <v>0</v>
      </c>
      <c r="O20">
        <v>0</v>
      </c>
      <c r="P20">
        <v>22.78</v>
      </c>
      <c r="Q20">
        <v>0</v>
      </c>
      <c r="R20">
        <v>22.78</v>
      </c>
      <c r="S20" s="1">
        <f t="shared" si="0"/>
        <v>0.2</v>
      </c>
      <c r="T20" s="2">
        <f t="shared" si="1"/>
        <v>10</v>
      </c>
    </row>
    <row r="21" spans="1:20" x14ac:dyDescent="0.2">
      <c r="A21" t="s">
        <v>42</v>
      </c>
      <c r="D21">
        <v>2.5299999999999998</v>
      </c>
      <c r="E21">
        <v>11.96</v>
      </c>
      <c r="L21" t="s">
        <v>42</v>
      </c>
      <c r="M21">
        <v>0</v>
      </c>
      <c r="N21">
        <v>0</v>
      </c>
      <c r="O21">
        <v>0</v>
      </c>
      <c r="P21">
        <v>23.4</v>
      </c>
      <c r="Q21">
        <v>0</v>
      </c>
      <c r="R21">
        <v>23.4</v>
      </c>
      <c r="S21" s="1">
        <f t="shared" si="0"/>
        <v>0.2</v>
      </c>
      <c r="T21" s="2">
        <f t="shared" si="1"/>
        <v>10</v>
      </c>
    </row>
    <row r="22" spans="1:20" x14ac:dyDescent="0.2">
      <c r="A22" t="s">
        <v>43</v>
      </c>
      <c r="D22">
        <v>0.38</v>
      </c>
      <c r="E22">
        <v>10.87</v>
      </c>
      <c r="L22" t="s">
        <v>43</v>
      </c>
      <c r="M22">
        <v>0</v>
      </c>
      <c r="N22">
        <v>0</v>
      </c>
      <c r="O22">
        <v>0</v>
      </c>
      <c r="P22">
        <v>22.05</v>
      </c>
      <c r="Q22">
        <v>0</v>
      </c>
      <c r="R22">
        <v>22.05</v>
      </c>
      <c r="S22" s="1">
        <f t="shared" si="0"/>
        <v>0.2</v>
      </c>
      <c r="T22" s="2">
        <f t="shared" si="1"/>
        <v>10</v>
      </c>
    </row>
    <row r="23" spans="1:20" x14ac:dyDescent="0.2">
      <c r="A23" t="s">
        <v>44</v>
      </c>
      <c r="D23">
        <v>0</v>
      </c>
      <c r="E23">
        <v>10.15</v>
      </c>
      <c r="L23" t="s">
        <v>44</v>
      </c>
      <c r="M23">
        <v>0</v>
      </c>
      <c r="N23">
        <v>0</v>
      </c>
      <c r="O23">
        <v>0</v>
      </c>
      <c r="P23">
        <v>22.49</v>
      </c>
      <c r="Q23">
        <v>0</v>
      </c>
      <c r="R23">
        <v>22.49</v>
      </c>
      <c r="S23" s="1">
        <f t="shared" si="0"/>
        <v>0.2</v>
      </c>
      <c r="T23" s="2">
        <f t="shared" si="1"/>
        <v>10</v>
      </c>
    </row>
    <row r="24" spans="1:20" x14ac:dyDescent="0.2">
      <c r="A24" t="s">
        <v>45</v>
      </c>
      <c r="D24">
        <v>0</v>
      </c>
      <c r="E24">
        <v>12.09</v>
      </c>
      <c r="L24" t="s">
        <v>45</v>
      </c>
      <c r="M24">
        <v>0</v>
      </c>
      <c r="N24">
        <v>0</v>
      </c>
      <c r="O24">
        <v>0</v>
      </c>
      <c r="P24">
        <v>21.58</v>
      </c>
      <c r="Q24">
        <v>0</v>
      </c>
      <c r="R24">
        <v>21.58</v>
      </c>
      <c r="S24" s="1">
        <f t="shared" si="0"/>
        <v>0.2</v>
      </c>
      <c r="T24" s="2">
        <f t="shared" si="1"/>
        <v>10</v>
      </c>
    </row>
    <row r="25" spans="1:20" x14ac:dyDescent="0.2">
      <c r="A25" t="s">
        <v>46</v>
      </c>
      <c r="D25">
        <v>0</v>
      </c>
      <c r="E25">
        <v>8.6</v>
      </c>
      <c r="L25" t="s">
        <v>46</v>
      </c>
      <c r="M25">
        <v>0</v>
      </c>
      <c r="N25">
        <v>0</v>
      </c>
      <c r="O25">
        <v>0</v>
      </c>
      <c r="P25">
        <v>20.6</v>
      </c>
      <c r="Q25">
        <v>0</v>
      </c>
      <c r="R25">
        <v>20.6</v>
      </c>
      <c r="S25" s="1">
        <f t="shared" si="0"/>
        <v>0.2</v>
      </c>
      <c r="T25" s="2">
        <f t="shared" si="1"/>
        <v>10</v>
      </c>
    </row>
    <row r="26" spans="1:20" x14ac:dyDescent="0.2">
      <c r="A26" t="s">
        <v>47</v>
      </c>
      <c r="D26">
        <v>0</v>
      </c>
      <c r="E26">
        <v>8.43</v>
      </c>
      <c r="L26" t="s">
        <v>47</v>
      </c>
      <c r="M26">
        <v>0</v>
      </c>
      <c r="N26">
        <v>0</v>
      </c>
      <c r="O26">
        <v>0</v>
      </c>
      <c r="P26">
        <v>21.88</v>
      </c>
      <c r="Q26">
        <v>0</v>
      </c>
      <c r="R26">
        <v>21.88</v>
      </c>
      <c r="S26" s="1">
        <f t="shared" si="0"/>
        <v>0.2</v>
      </c>
      <c r="T26" s="2">
        <f t="shared" si="1"/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2023-08-21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2025-09-16T20:50:04Z</dcterms:created>
  <dcterms:modified xsi:type="dcterms:W3CDTF">2025-09-16T21:04:49Z</dcterms:modified>
</cp:coreProperties>
</file>